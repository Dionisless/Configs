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Prim-fs-serv\primrdu\СРЗА\Уставки\Таблицы РЗА\Таблицы уставок РЗА\Аэропорт\"/>
    </mc:Choice>
  </mc:AlternateContent>
  <bookViews>
    <workbookView xWindow="270" yWindow="15" windowWidth="16095" windowHeight="9660" activeTab="1"/>
  </bookViews>
  <sheets>
    <sheet name="Задание" sheetId="2" r:id="rId1"/>
    <sheet name="ТУ" sheetId="1" r:id="rId2"/>
  </sheets>
  <externalReferences>
    <externalReference r:id="rId3"/>
  </externalReferences>
  <definedNames>
    <definedName name="_xlnm.Print_Area" localSheetId="0">Задание!$A$1:$E$21</definedName>
    <definedName name="_xlnm.Print_Area" localSheetId="1">ТУ!$A$1:$H$269</definedName>
  </definedNames>
  <calcPr calcId="162913"/>
</workbook>
</file>

<file path=xl/calcChain.xml><?xml version="1.0" encoding="utf-8"?>
<calcChain xmlns="http://schemas.openxmlformats.org/spreadsheetml/2006/main">
  <c r="I13" i="1" l="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12" i="1" l="1"/>
</calcChain>
</file>

<file path=xl/comments1.xml><?xml version="1.0" encoding="utf-8"?>
<comments xmlns="http://schemas.openxmlformats.org/spreadsheetml/2006/main">
  <authors>
    <author>Мирочник Сергей Викторович</author>
    <author>Матвеев Игорь Владимирович</author>
    <author>Клемент Артур Робертович</author>
  </authors>
  <commentList>
    <comment ref="A5" authorId="0" shapeId="0">
      <text>
        <r>
          <rPr>
            <b/>
            <sz val="9"/>
            <color indexed="81"/>
            <rFont val="Tahoma"/>
            <family val="2"/>
            <charset val="204"/>
          </rPr>
          <t>Мирочник Сергей Викторович:</t>
        </r>
        <r>
          <rPr>
            <sz val="9"/>
            <color indexed="81"/>
            <rFont val="Tahoma"/>
            <family val="2"/>
            <charset val="204"/>
          </rPr>
          <t xml:space="preserve">
Изменены первичные во вторичные. Суть не меняется.</t>
        </r>
      </text>
    </comment>
    <comment ref="A8" authorId="1" shapeId="0">
      <text>
        <r>
          <rPr>
            <b/>
            <sz val="9"/>
            <color indexed="81"/>
            <rFont val="Tahoma"/>
            <family val="2"/>
            <charset val="204"/>
          </rPr>
          <t>Матвеев Игорь Владимирович:</t>
        </r>
        <r>
          <rPr>
            <sz val="9"/>
            <color indexed="81"/>
            <rFont val="Tahoma"/>
            <family val="2"/>
            <charset val="204"/>
          </rPr>
          <t xml:space="preserve">
При перевыдаче дополнить Ктн ТН2
(см. п.28 акта проверки ОДУ В)</t>
        </r>
      </text>
    </comment>
    <comment ref="D25" authorId="0" shapeId="0">
      <text>
        <r>
          <rPr>
            <b/>
            <sz val="9"/>
            <color indexed="81"/>
            <rFont val="Tahoma"/>
            <family val="2"/>
            <charset val="204"/>
          </rPr>
          <t xml:space="preserve">Мирочник Сергей Викторович: </t>
        </r>
        <r>
          <rPr>
            <sz val="9"/>
            <color indexed="81"/>
            <rFont val="Tahoma"/>
            <family val="2"/>
            <charset val="204"/>
          </rPr>
          <t xml:space="preserve">На подстанциях, проходивших по титулу Аэропорт группа 6 в CFC используется для виртуальных кнопок. 6 группа полностью повторяет 7 группу.  </t>
        </r>
      </text>
    </comment>
    <comment ref="D82" authorId="2" shapeId="0">
      <text>
        <r>
          <rPr>
            <b/>
            <sz val="9"/>
            <color indexed="81"/>
            <rFont val="Tahoma"/>
            <charset val="1"/>
          </rPr>
          <t>Клемент Артур Робертович:</t>
        </r>
        <r>
          <rPr>
            <sz val="9"/>
            <color indexed="81"/>
            <rFont val="Tahoma"/>
            <charset val="1"/>
          </rPr>
          <t xml:space="preserve">
Заменить на собственное время включения выключателя при перевыдаче (вх-3222 от 2024-01-19)</t>
        </r>
      </text>
    </comment>
    <comment ref="D97" authorId="2" shapeId="0">
      <text>
        <r>
          <rPr>
            <b/>
            <sz val="9"/>
            <color indexed="81"/>
            <rFont val="Tahoma"/>
            <charset val="1"/>
          </rPr>
          <t>Клемент Артур Робертович:</t>
        </r>
        <r>
          <rPr>
            <sz val="9"/>
            <color indexed="81"/>
            <rFont val="Tahoma"/>
            <charset val="1"/>
          </rPr>
          <t xml:space="preserve">
Заменить на максимальное значение при перевыдаче (методика 17р)</t>
        </r>
      </text>
    </comment>
    <comment ref="D116" authorId="2" shapeId="0">
      <text>
        <r>
          <rPr>
            <b/>
            <sz val="9"/>
            <color indexed="81"/>
            <rFont val="Tahoma"/>
            <charset val="1"/>
          </rPr>
          <t>Клемент Артур Робертович:</t>
        </r>
        <r>
          <rPr>
            <sz val="9"/>
            <color indexed="81"/>
            <rFont val="Tahoma"/>
            <charset val="1"/>
          </rPr>
          <t xml:space="preserve">
Заменить на собственное время включения выключателя при перевыдаче (вх-3222 от 2024-01-19)</t>
        </r>
      </text>
    </comment>
    <comment ref="D131" authorId="2" shapeId="0">
      <text>
        <r>
          <rPr>
            <b/>
            <sz val="9"/>
            <color indexed="81"/>
            <rFont val="Tahoma"/>
            <charset val="1"/>
          </rPr>
          <t>Клемент Артур Робертович:</t>
        </r>
        <r>
          <rPr>
            <sz val="9"/>
            <color indexed="81"/>
            <rFont val="Tahoma"/>
            <charset val="1"/>
          </rPr>
          <t xml:space="preserve">
Заменить на максимальное значение при перевыдаче (методика 17р)</t>
        </r>
      </text>
    </comment>
    <comment ref="D150" authorId="2" shapeId="0">
      <text>
        <r>
          <rPr>
            <b/>
            <sz val="9"/>
            <color indexed="81"/>
            <rFont val="Tahoma"/>
            <charset val="1"/>
          </rPr>
          <t>Клемент Артур Робертович:</t>
        </r>
        <r>
          <rPr>
            <sz val="9"/>
            <color indexed="81"/>
            <rFont val="Tahoma"/>
            <charset val="1"/>
          </rPr>
          <t xml:space="preserve">
Заменить на собственное время включения выключателя при перевыдаче (вх-3222 от 2024-01-19)</t>
        </r>
      </text>
    </comment>
    <comment ref="D165" authorId="2" shapeId="0">
      <text>
        <r>
          <rPr>
            <b/>
            <sz val="9"/>
            <color indexed="81"/>
            <rFont val="Tahoma"/>
            <charset val="1"/>
          </rPr>
          <t>Клемент Артур Робертович:</t>
        </r>
        <r>
          <rPr>
            <sz val="9"/>
            <color indexed="81"/>
            <rFont val="Tahoma"/>
            <charset val="1"/>
          </rPr>
          <t xml:space="preserve">
Заменить на максимальное значение при перевыдаче (методика 17р)</t>
        </r>
      </text>
    </comment>
  </commentList>
</comments>
</file>

<file path=xl/sharedStrings.xml><?xml version="1.0" encoding="utf-8"?>
<sst xmlns="http://schemas.openxmlformats.org/spreadsheetml/2006/main" count="961" uniqueCount="545">
  <si>
    <t>Конфигурация устройства</t>
  </si>
  <si>
    <t>0103</t>
  </si>
  <si>
    <t>Переключ Группы</t>
  </si>
  <si>
    <t>Выведено_x000D_
Введено</t>
  </si>
  <si>
    <t>Выведено</t>
  </si>
  <si>
    <t>Опция переключения группы уставок</t>
  </si>
  <si>
    <t>0x2000016769F1</t>
  </si>
  <si>
    <t>Изм U_1</t>
  </si>
  <si>
    <t>Введено</t>
  </si>
  <si>
    <t>Измерение U</t>
  </si>
  <si>
    <t>0x2000016769F2</t>
  </si>
  <si>
    <t>Изм I_1</t>
  </si>
  <si>
    <t>Измерение I</t>
  </si>
  <si>
    <t>0x2000016769F3</t>
  </si>
  <si>
    <t>Изм 1ф_1</t>
  </si>
  <si>
    <t>Однофазное измерение, группа измерений 1</t>
  </si>
  <si>
    <t>0x2000016769F4</t>
  </si>
  <si>
    <t>Изм 1ф_2</t>
  </si>
  <si>
    <t>Однофазное измерение, группа измерений 2</t>
  </si>
  <si>
    <t>0x2000016769F5</t>
  </si>
  <si>
    <t>Изм 1ф_3</t>
  </si>
  <si>
    <t>Однофазное измерение, группа измерений 3</t>
  </si>
  <si>
    <t>0x2000016769F6</t>
  </si>
  <si>
    <t>Изм 3ф_1</t>
  </si>
  <si>
    <t>Трехфазное измерение, группа измерений 1</t>
  </si>
  <si>
    <t>0x2000016769F7</t>
  </si>
  <si>
    <t>Изм по сх.Арона</t>
  </si>
  <si>
    <t>Измер по схем.2Ваттметров,группа измер.1</t>
  </si>
  <si>
    <t>0x2000016769DD</t>
  </si>
  <si>
    <t>ФункцСинхрон 1</t>
  </si>
  <si>
    <t>Функция синхронизации 1</t>
  </si>
  <si>
    <t>0x2000016769DE</t>
  </si>
  <si>
    <t>ФункцСинхрон 2</t>
  </si>
  <si>
    <t>Функция синхронизации 2</t>
  </si>
  <si>
    <t>0x2000016769DF</t>
  </si>
  <si>
    <t>ФункцСинхрон 3</t>
  </si>
  <si>
    <t>Функция синхронизации 3</t>
  </si>
  <si>
    <t>0x2000016769E0</t>
  </si>
  <si>
    <t>ФункцСинхрон 4</t>
  </si>
  <si>
    <t>Функция синхронизации 4</t>
  </si>
  <si>
    <t>0x2000016769E1</t>
  </si>
  <si>
    <t>ФункцСинхрон 5</t>
  </si>
  <si>
    <t>Функция синхронизации 5</t>
  </si>
  <si>
    <t>0x2000016769E2</t>
  </si>
  <si>
    <t>ФункцСинхрон 6</t>
  </si>
  <si>
    <t>Функция синхронизации 6</t>
  </si>
  <si>
    <t>0x2000016769E3</t>
  </si>
  <si>
    <t>ФункцСинхрон 7</t>
  </si>
  <si>
    <t>Функция синхронизации 7</t>
  </si>
  <si>
    <t>0x2000016769E4</t>
  </si>
  <si>
    <t>ФункцСинхрон 8</t>
  </si>
  <si>
    <t>Функция синхронизации 8</t>
  </si>
  <si>
    <t>0110</t>
  </si>
  <si>
    <t>Режим Пускат</t>
  </si>
  <si>
    <t>только 3 фазный_x000D_
1-/3ф</t>
  </si>
  <si>
    <t>только 3 фазный</t>
  </si>
  <si>
    <t>Режим срабатывания</t>
  </si>
  <si>
    <t>0133</t>
  </si>
  <si>
    <t>АПВ</t>
  </si>
  <si>
    <t>1 АПВ-цикл_x000D_
2 АПВ-цикла_x000D_
3 АПВ-цикла_x000D_
4 АПВ-цикла_x000D_
5 АПВ-циклов_x000D_
6 АПВ-циклов_x000D_
7 АПВ-циклов_x000D_
8 АПВ-циклов_x000D_
Адаптивная бестоковая Пауза (АБП)_x000D_
Выведено</t>
  </si>
  <si>
    <t>1 АПВ-цикл</t>
  </si>
  <si>
    <t>Автоматическое повторное включение</t>
  </si>
  <si>
    <t>0134</t>
  </si>
  <si>
    <t>АПВ режим упр</t>
  </si>
  <si>
    <t>с пуском и временем действия_x000D_
с пуском без времени действия_x000D_
с Отключением и временем действия_x000D_
с Отключением без времени действия</t>
  </si>
  <si>
    <t>с Отключением без времени действия</t>
  </si>
  <si>
    <t>АПВ режим управления</t>
  </si>
  <si>
    <t>0139</t>
  </si>
  <si>
    <t>УРОВ</t>
  </si>
  <si>
    <t>Устр. резерв. отказа выключателя (УРОВ)</t>
  </si>
  <si>
    <t>Адрес</t>
  </si>
  <si>
    <t>Параметр</t>
  </si>
  <si>
    <t>Значение/диапазон/шаг</t>
  </si>
  <si>
    <t>Задаваемый параметр</t>
  </si>
  <si>
    <t>Комментарий</t>
  </si>
  <si>
    <t>Общее</t>
  </si>
  <si>
    <t>НЕТ_x000D_
ДА</t>
  </si>
  <si>
    <t>НЕТ</t>
  </si>
  <si>
    <t>Данные энергосистемы 1</t>
  </si>
  <si>
    <t>Параметры сети</t>
  </si>
  <si>
    <t>0203</t>
  </si>
  <si>
    <t>Uном Первич</t>
  </si>
  <si>
    <t>1.0 … 1200.0 кВ</t>
  </si>
  <si>
    <t>220 кВ</t>
  </si>
  <si>
    <t>Первичное номинальное напряжение</t>
  </si>
  <si>
    <t>0204</t>
  </si>
  <si>
    <t>Uном Вторич</t>
  </si>
  <si>
    <t>80 … 125 В</t>
  </si>
  <si>
    <t>100 В</t>
  </si>
  <si>
    <t>Вторичное номинальное напряжение</t>
  </si>
  <si>
    <t>0205</t>
  </si>
  <si>
    <t>Iном первич ТТ</t>
  </si>
  <si>
    <t>10 … 5000 А</t>
  </si>
  <si>
    <t>1000 А</t>
  </si>
  <si>
    <t>Первичный номинальный ток ТТ</t>
  </si>
  <si>
    <t>0206</t>
  </si>
  <si>
    <t>Iном вротич ТТ</t>
  </si>
  <si>
    <t>1А_x000D_
5А</t>
  </si>
  <si>
    <t>1А</t>
  </si>
  <si>
    <t>Вторичный номинальный ток ТТ</t>
  </si>
  <si>
    <t>0214</t>
  </si>
  <si>
    <t>Номин Частота</t>
  </si>
  <si>
    <t>50 Гц_x000D_
60 Гц</t>
  </si>
  <si>
    <t>50 Гц</t>
  </si>
  <si>
    <t>Номинальная частота</t>
  </si>
  <si>
    <t>Выключатель</t>
  </si>
  <si>
    <t>0240</t>
  </si>
  <si>
    <t>Тмин Ком Откл</t>
  </si>
  <si>
    <t>0.02 … 30.00 сек</t>
  </si>
  <si>
    <t>0.1 сек</t>
  </si>
  <si>
    <t>Мин. длительность команды отключения</t>
  </si>
  <si>
    <t>0241</t>
  </si>
  <si>
    <t>Тмакс Ком Вкл</t>
  </si>
  <si>
    <t>0.01 … 30.00 сек</t>
  </si>
  <si>
    <t>0.15 сек</t>
  </si>
  <si>
    <t>Макс. длительность команды включения</t>
  </si>
  <si>
    <t>Регистрация аварийных режимов</t>
  </si>
  <si>
    <t>Рег Авар Режим</t>
  </si>
  <si>
    <t>0901</t>
  </si>
  <si>
    <t>Запуск Регистр</t>
  </si>
  <si>
    <t>Сохранить при пуске_x000D_
Сохранить при отключении_x000D_
Пуск при отключении</t>
  </si>
  <si>
    <t>Сохранить при пуске</t>
  </si>
  <si>
    <t>Запуск регистрации повреждений</t>
  </si>
  <si>
    <t>0902</t>
  </si>
  <si>
    <t>Объем Регистр</t>
  </si>
  <si>
    <t>Повреждение_x000D_
Повреждение в энергосистеме</t>
  </si>
  <si>
    <t>Повреждение в энергосистеме</t>
  </si>
  <si>
    <t>Объем записываемых данных</t>
  </si>
  <si>
    <t>0903</t>
  </si>
  <si>
    <t>Макс время Рег</t>
  </si>
  <si>
    <t>0.30 … 5.00 сек</t>
  </si>
  <si>
    <t>Максимальное время записи повреждения</t>
  </si>
  <si>
    <t>0904</t>
  </si>
  <si>
    <t>Время до Нач</t>
  </si>
  <si>
    <t>0.05 … 0.50 сек</t>
  </si>
  <si>
    <t>Время записи до начала регистрации</t>
  </si>
  <si>
    <t>0905</t>
  </si>
  <si>
    <t>Врем после Повр</t>
  </si>
  <si>
    <t>Время записи после повреждения</t>
  </si>
  <si>
    <t>0906</t>
  </si>
  <si>
    <t>ВремяЗаписи ДВх</t>
  </si>
  <si>
    <t>0.10 … 5.00 сек; oo</t>
  </si>
  <si>
    <t>Время записи при пуске через дискр.вход</t>
  </si>
  <si>
    <t>Параметры энергосистемы 2</t>
  </si>
  <si>
    <t>1130A</t>
  </si>
  <si>
    <t>ТокРазомкФазы</t>
  </si>
  <si>
    <t>0.05 … 1.00 А</t>
  </si>
  <si>
    <t>Порог Тока Разомкнутой Фазы</t>
  </si>
  <si>
    <t>1135</t>
  </si>
  <si>
    <t>Сброс Ком.Откл.</t>
  </si>
  <si>
    <t>Превыш порога I остаточного_x000D_
бл-конт ВЫКЛ и I&lt; остаточный</t>
  </si>
  <si>
    <t>Превыш порога I остаточного</t>
  </si>
  <si>
    <t>СБРОС Команды Отключения</t>
  </si>
  <si>
    <t>1150A</t>
  </si>
  <si>
    <t>ДейсПослРучВкл</t>
  </si>
  <si>
    <t>Продолжит.действия после РУЧН.включения</t>
  </si>
  <si>
    <t>0x2000029E6978</t>
  </si>
  <si>
    <t>ТН ВторНапр</t>
  </si>
  <si>
    <t>0.00 … 200.00 В</t>
  </si>
  <si>
    <t>Номинальное значение вторичного напряж.</t>
  </si>
  <si>
    <t>0x2000029F6978</t>
  </si>
  <si>
    <t>0x2000029F6979</t>
  </si>
  <si>
    <t>ТТ ЗначВторТока</t>
  </si>
  <si>
    <t>0.00 … 5.00 А</t>
  </si>
  <si>
    <t>Номинальное значение вторичного тока</t>
  </si>
  <si>
    <t>0x200002A26978</t>
  </si>
  <si>
    <t>0x200002A26979</t>
  </si>
  <si>
    <t>Параметры ЭС</t>
  </si>
  <si>
    <t>ВЫКЛ Собст Врем</t>
  </si>
  <si>
    <t>0.01 … 0.60 сек</t>
  </si>
  <si>
    <t>Собственное время включения ВЫКЛ</t>
  </si>
  <si>
    <t>КоэффБал U1/U2</t>
  </si>
  <si>
    <t xml:space="preserve">0.80 … 1.20 </t>
  </si>
  <si>
    <t>Коэффициент баланса U1/U2</t>
  </si>
  <si>
    <t>Угол U1-U2</t>
  </si>
  <si>
    <t>0 … 360 °</t>
  </si>
  <si>
    <t>Задание угла U1-U2</t>
  </si>
  <si>
    <t>ТН1 ВторНапр</t>
  </si>
  <si>
    <t>0.00 … 170.00 В</t>
  </si>
  <si>
    <t>ТН2 ВторНапр</t>
  </si>
  <si>
    <t>Uмин</t>
  </si>
  <si>
    <t>20 … 125 В</t>
  </si>
  <si>
    <t>Мин. напряжение для синхронизации</t>
  </si>
  <si>
    <t>Uмакс</t>
  </si>
  <si>
    <t>20 … 140 В</t>
  </si>
  <si>
    <t>Макс. напряжение для синхронизации</t>
  </si>
  <si>
    <t>Uобест</t>
  </si>
  <si>
    <t>1 … 60 В</t>
  </si>
  <si>
    <t>Порог напр. обесточен. линии/шин</t>
  </si>
  <si>
    <t>Синхр.U1&gt;U2&lt;</t>
  </si>
  <si>
    <t>ДА_x000D_
НЕТ</t>
  </si>
  <si>
    <t>Синхронизация по условию U1&gt; и U2&lt;</t>
  </si>
  <si>
    <t>Синхр.U1&lt;U2&gt;</t>
  </si>
  <si>
    <t>Синхронизация по условию U1&lt; и U2&gt;</t>
  </si>
  <si>
    <t>Синхр.U1&lt;U2&lt;</t>
  </si>
  <si>
    <t>Синхронизация по условию U1&lt; и U2&lt;</t>
  </si>
  <si>
    <t>Т синхр длит</t>
  </si>
  <si>
    <t>1.00 … 600.00 сек</t>
  </si>
  <si>
    <t>60 сек</t>
  </si>
  <si>
    <t>Макс. время процесса синхронизации</t>
  </si>
  <si>
    <t>fмин</t>
  </si>
  <si>
    <t>95 … 105 %</t>
  </si>
  <si>
    <t>97 %</t>
  </si>
  <si>
    <t>Минимальная частота</t>
  </si>
  <si>
    <t>fмакс</t>
  </si>
  <si>
    <t>101 %</t>
  </si>
  <si>
    <t>Максимальная частота</t>
  </si>
  <si>
    <t>АсинхрУсловия</t>
  </si>
  <si>
    <t>РазнU АсинхрВкл</t>
  </si>
  <si>
    <t>0.5 … 40.0 В</t>
  </si>
  <si>
    <t>Макс.разница напряжений для асинхр.вкл.</t>
  </si>
  <si>
    <t>Разн f СинхрВкл</t>
  </si>
  <si>
    <t>0.01 … 2.00 Гц</t>
  </si>
  <si>
    <t>Макс.разница частот для синхр.включения</t>
  </si>
  <si>
    <t>СинхрУсловия</t>
  </si>
  <si>
    <t>f синхрон</t>
  </si>
  <si>
    <t>10 … 40 мГц</t>
  </si>
  <si>
    <t>40 мГц</t>
  </si>
  <si>
    <t>Порог.знач. f для синхр./асинхр. включ.</t>
  </si>
  <si>
    <t>РазнU СинхрВкл</t>
  </si>
  <si>
    <t>Макс.разница напряжений для синхр.включ.</t>
  </si>
  <si>
    <t>2 … 90 °</t>
  </si>
  <si>
    <t>40 °</t>
  </si>
  <si>
    <t>Макс.разница углов для синхр.включения</t>
  </si>
  <si>
    <t>Разн φ СинхрВкл</t>
  </si>
  <si>
    <t>Т синхрон</t>
  </si>
  <si>
    <t>0.00 … 60.00 сек</t>
  </si>
  <si>
    <t>0.3 сек</t>
  </si>
  <si>
    <t>Миним.время наличия усл.синхронизма</t>
  </si>
  <si>
    <t>СИНХР. Группа функций 7</t>
  </si>
  <si>
    <t>0x2000041164A3</t>
  </si>
  <si>
    <t>0x200004116982</t>
  </si>
  <si>
    <t>0x200004116983</t>
  </si>
  <si>
    <t>0x200004116984</t>
  </si>
  <si>
    <t>0x200004116985</t>
  </si>
  <si>
    <t>0x200004116986</t>
  </si>
  <si>
    <t>0x200004116987</t>
  </si>
  <si>
    <t>0x200004116988</t>
  </si>
  <si>
    <t>0x200004116989</t>
  </si>
  <si>
    <t>0x20000411698A</t>
  </si>
  <si>
    <t>0x20000411698B</t>
  </si>
  <si>
    <t>0x2000041164A7</t>
  </si>
  <si>
    <t>0x2000041164B1</t>
  </si>
  <si>
    <t>0x2000041164B2</t>
  </si>
  <si>
    <t>0x200004116990</t>
  </si>
  <si>
    <t>0x20000411698D</t>
  </si>
  <si>
    <t>0x20000411698F</t>
  </si>
  <si>
    <t>0x20000411698C</t>
  </si>
  <si>
    <t>0x20000411698E</t>
  </si>
  <si>
    <t>0x200004116991</t>
  </si>
  <si>
    <t>СИНХР. Группа функций 8</t>
  </si>
  <si>
    <t>0x2000041264A3</t>
  </si>
  <si>
    <t>0x200004126982</t>
  </si>
  <si>
    <t>0x200004126983</t>
  </si>
  <si>
    <t>0x200004126984</t>
  </si>
  <si>
    <t>0x200004126985</t>
  </si>
  <si>
    <t>0x200004126986</t>
  </si>
  <si>
    <t>0x200004126987</t>
  </si>
  <si>
    <t>0x200004126988</t>
  </si>
  <si>
    <t>0x200004126989</t>
  </si>
  <si>
    <t>ДА</t>
  </si>
  <si>
    <t>0x20000412698A</t>
  </si>
  <si>
    <t>0x20000412698B</t>
  </si>
  <si>
    <t>0x2000041264A7</t>
  </si>
  <si>
    <t>0x2000041264B1</t>
  </si>
  <si>
    <t>0x2000041264B2</t>
  </si>
  <si>
    <t>0x200004126990</t>
  </si>
  <si>
    <t>0x20000412698D</t>
  </si>
  <si>
    <t>0x20000412698F</t>
  </si>
  <si>
    <t>0x20000412698C</t>
  </si>
  <si>
    <t>0x20000412698E</t>
  </si>
  <si>
    <t>0x200004126991</t>
  </si>
  <si>
    <t>3401</t>
  </si>
  <si>
    <t>ОТКЛ_x000D_
ВКЛ</t>
  </si>
  <si>
    <t>ВКЛ</t>
  </si>
  <si>
    <t>3402</t>
  </si>
  <si>
    <t>Опрос готовности ВЫКЛ перед 1ым откл</t>
  </si>
  <si>
    <t>ВЫКЛ, Контроль</t>
  </si>
  <si>
    <t>3403</t>
  </si>
  <si>
    <t>Время возвр АПВ</t>
  </si>
  <si>
    <t>0.50 … 300.00 сек</t>
  </si>
  <si>
    <t>20 сек</t>
  </si>
  <si>
    <t>Время возврата АПВ</t>
  </si>
  <si>
    <t>3404</t>
  </si>
  <si>
    <t>Тблок ручн. вкл</t>
  </si>
  <si>
    <t>0.50 … 300.00 сек; 0</t>
  </si>
  <si>
    <t>Время блокиров. АПВ после ручн. включ.</t>
  </si>
  <si>
    <t>3406</t>
  </si>
  <si>
    <t>ОБНАР Разв Повр</t>
  </si>
  <si>
    <t>с Пуском_x000D_
с Отключением</t>
  </si>
  <si>
    <t>с Отключением</t>
  </si>
  <si>
    <t>Обнаружение развивающегося повреждения</t>
  </si>
  <si>
    <t>3407</t>
  </si>
  <si>
    <t>РЕЖ ОБНАР ПОВР</t>
  </si>
  <si>
    <t>блокирует АПВ_x000D_
пуск цикла 3ф АПВ</t>
  </si>
  <si>
    <t>блокирует АПВ</t>
  </si>
  <si>
    <t>Обнар. развив. повр.(во вр.бесток.паузы)</t>
  </si>
  <si>
    <t>3408</t>
  </si>
  <si>
    <t>Тпуска КОНТРОЛЬ</t>
  </si>
  <si>
    <t>0.01 … 300.00 сек</t>
  </si>
  <si>
    <t>Время контроля пуска</t>
  </si>
  <si>
    <t>3409</t>
  </si>
  <si>
    <t>Т контр ВЫКЛ</t>
  </si>
  <si>
    <t>1 сек</t>
  </si>
  <si>
    <t>Время контроля выключателя</t>
  </si>
  <si>
    <t>3410</t>
  </si>
  <si>
    <t>Т УдалВключ</t>
  </si>
  <si>
    <t>0.00 … 300.00 сек; oo</t>
  </si>
  <si>
    <t>oo</t>
  </si>
  <si>
    <t>Выдержка отправки удал.командывключения</t>
  </si>
  <si>
    <t>3411A</t>
  </si>
  <si>
    <t>Т паузы ПРОДЛ</t>
  </si>
  <si>
    <t>0.50 … 300.00 сек; oo</t>
  </si>
  <si>
    <t>Макс. время продления паузы</t>
  </si>
  <si>
    <t>1 цикл АПВ</t>
  </si>
  <si>
    <t>3457</t>
  </si>
  <si>
    <t>1.АПВ:Тп3ф Откл</t>
  </si>
  <si>
    <t>0.01 … 1800.00 сек; oo</t>
  </si>
  <si>
    <t>2.3 сек</t>
  </si>
  <si>
    <t>Время бестоковой паузы при 3ф откл.</t>
  </si>
  <si>
    <t>3458</t>
  </si>
  <si>
    <t>1.АПВ:ТпРазвКЗ</t>
  </si>
  <si>
    <t>0.01 … 1800.00 сек</t>
  </si>
  <si>
    <t>Время бестоковой паузы при развивающ КЗ</t>
  </si>
  <si>
    <t>3459</t>
  </si>
  <si>
    <t>Опрос готовности сил.выкл.перед включ.</t>
  </si>
  <si>
    <t>1.АПВ:ВЫКЛ,гот</t>
  </si>
  <si>
    <t>3460</t>
  </si>
  <si>
    <t>1.АПВ ЗапрСинх</t>
  </si>
  <si>
    <t>Запрос для пров синхрон после 3ф АПВ</t>
  </si>
  <si>
    <t>3ф.откл/ПОЛ/УБП</t>
  </si>
  <si>
    <t>3430</t>
  </si>
  <si>
    <t>АПВ ОТКЛ 3ф</t>
  </si>
  <si>
    <t>3ф ОТКЛ при блокировании ОАПВ</t>
  </si>
  <si>
    <t>3431</t>
  </si>
  <si>
    <t>ПОЛ или АБП</t>
  </si>
  <si>
    <t>без_x000D_
Укороченная Бесток. Пауза (УБП)_x000D_
Проверка Обесточенности Линии (ПОЛ)</t>
  </si>
  <si>
    <t>без</t>
  </si>
  <si>
    <t>ПровОбесточЛин или АдаптБестокПаузы</t>
  </si>
  <si>
    <t>3438</t>
  </si>
  <si>
    <t>Т Uстаб</t>
  </si>
  <si>
    <t>0.10 … 30.00 сек</t>
  </si>
  <si>
    <t>Время контроля налич/отсутств напряжения</t>
  </si>
  <si>
    <t>3440</t>
  </si>
  <si>
    <t>Uс/напр&gt;</t>
  </si>
  <si>
    <t>30 … 90 В</t>
  </si>
  <si>
    <t>Порог напряж.для линии или шин под напр</t>
  </si>
  <si>
    <t>3441</t>
  </si>
  <si>
    <t>U-б/напр&lt;</t>
  </si>
  <si>
    <t>2 … 70 В</t>
  </si>
  <si>
    <t>Порог напряж.для линии или шин б/напр</t>
  </si>
  <si>
    <t>3901</t>
  </si>
  <si>
    <t>Ф-я УРОВ</t>
  </si>
  <si>
    <t>ВКЛ_x000D_
ОТКЛ</t>
  </si>
  <si>
    <t>Ф-я УРОВ является</t>
  </si>
  <si>
    <t>3902</t>
  </si>
  <si>
    <t>I&gt; УРОВ</t>
  </si>
  <si>
    <t>0.05 … 1.20 А</t>
  </si>
  <si>
    <t>Порог срабатывания I&gt;</t>
  </si>
  <si>
    <t>3912</t>
  </si>
  <si>
    <t>IЕ&gt; УРОВ</t>
  </si>
  <si>
    <t>Порог срабатывания IЕ&gt;</t>
  </si>
  <si>
    <t>3909</t>
  </si>
  <si>
    <t>Конт ВЫКЛ Б/К</t>
  </si>
  <si>
    <t>Контроль выключателя по блок/конт</t>
  </si>
  <si>
    <t>3911</t>
  </si>
  <si>
    <t>Контр Ранж ИП</t>
  </si>
  <si>
    <t>Контроль достоверн. ранжир. изм.преобраз</t>
  </si>
  <si>
    <t>Ком Откл Т1/Т2</t>
  </si>
  <si>
    <t>3904</t>
  </si>
  <si>
    <t>Т1-1ф</t>
  </si>
  <si>
    <t>0.00 … 30.00 сек; oo</t>
  </si>
  <si>
    <t>0.12 сек</t>
  </si>
  <si>
    <t>Т1, Выдерж.после 1ф пуска (местн. откл)</t>
  </si>
  <si>
    <t>3905</t>
  </si>
  <si>
    <t>Т1-3ф</t>
  </si>
  <si>
    <t>Т1, Выерж.после 3ф пуска (местн. откл)</t>
  </si>
  <si>
    <t>3906</t>
  </si>
  <si>
    <t>Т2</t>
  </si>
  <si>
    <t>Выдержка времени Т2</t>
  </si>
  <si>
    <t>Неиспр ВЫКЛ</t>
  </si>
  <si>
    <t>3907</t>
  </si>
  <si>
    <t>Т3 Неисп ВЫКЛ</t>
  </si>
  <si>
    <t>0.2 сек</t>
  </si>
  <si>
    <t>Т3, Выдержка врем при неиспр. ВЫКЛ</t>
  </si>
  <si>
    <t>3908</t>
  </si>
  <si>
    <t>ОтклНеиспВыключ</t>
  </si>
  <si>
    <t>НЕТ_x000D_
УРОВ Откл (Т1)_x000D_
УРОВ Откл (Т2)_x000D_
УРОВ Откл (Т1 и Т2)</t>
  </si>
  <si>
    <t>УРОВ Откл (Т1 и Т2)</t>
  </si>
  <si>
    <t>Выбор выдачи ком.откл. при неисп.ВЫКЛ</t>
  </si>
  <si>
    <t>Защ Конц Прис</t>
  </si>
  <si>
    <t>3921</t>
  </si>
  <si>
    <t>ЗащКЗ мертв зон</t>
  </si>
  <si>
    <t>Защита от КЗ в "мертвой зоне"</t>
  </si>
  <si>
    <t>3922</t>
  </si>
  <si>
    <t>ВыдВрЗащМертЗон</t>
  </si>
  <si>
    <t>Выд.врем. защ. от КЗ в "мертвой зоне"</t>
  </si>
  <si>
    <t>Расхождение Фаз</t>
  </si>
  <si>
    <t>3931</t>
  </si>
  <si>
    <t>Защ. от НПФ</t>
  </si>
  <si>
    <t>ОТКЛ</t>
  </si>
  <si>
    <t>Защита от непереключения фаз</t>
  </si>
  <si>
    <t>3932</t>
  </si>
  <si>
    <t>ВыдВрем ЗНПФ</t>
  </si>
  <si>
    <t>Выд.врем. защ. от непереключения фаз</t>
  </si>
  <si>
    <t>ЗащДугПерекр</t>
  </si>
  <si>
    <t>3940</t>
  </si>
  <si>
    <t>Защита от дуговых перекрытий</t>
  </si>
  <si>
    <t>Контроль измеряемых величин</t>
  </si>
  <si>
    <t>2915</t>
  </si>
  <si>
    <t>Контр БНН</t>
  </si>
  <si>
    <t>с контролем тока_x000D_
с контролем тока и бл-контактов сил.вык._x000D_
ОТКЛ</t>
  </si>
  <si>
    <t>с контролем тока</t>
  </si>
  <si>
    <t>Контроль БНН</t>
  </si>
  <si>
    <t>2916A</t>
  </si>
  <si>
    <t>Т БНН</t>
  </si>
  <si>
    <t>0.00 … 30.00 сек</t>
  </si>
  <si>
    <t>9 сек</t>
  </si>
  <si>
    <t>Выдержка Врем Контроля БНН</t>
  </si>
  <si>
    <t>2917</t>
  </si>
  <si>
    <t>БНН U&lt; (3ф)</t>
  </si>
  <si>
    <t>2 … 100 В</t>
  </si>
  <si>
    <t>Порог напряжения U&lt; (3ф) для БНН</t>
  </si>
  <si>
    <t>-</t>
  </si>
  <si>
    <t>Информация об эксплуатационном состоянии устройств РЗА (для устройств не являющихся объектами диспетчеризации)</t>
  </si>
  <si>
    <t>Направление в Приморское РДУ файлов параметрирования, содержащих данные о настройке МП терминалов в течение 3 (трёх) рабочих дней с момента реализации задания</t>
  </si>
  <si>
    <t>Предоставление файлов параметрирования</t>
  </si>
  <si>
    <t>Направление в Приморское РДУ официального уведомления в письменной форме о выполнении задания не позднее 3 (трёх) рабочих дней с момента выполнения задания</t>
  </si>
  <si>
    <t xml:space="preserve">Подтверждение выполнения задания </t>
  </si>
  <si>
    <t>Требование о корректировке исполнительных схем</t>
  </si>
  <si>
    <t>Реквизиты согласованных ДЦ томов рабочей документации</t>
  </si>
  <si>
    <t>Срок реализации задания</t>
  </si>
  <si>
    <t>Указание об аннулировании предыдущего задания</t>
  </si>
  <si>
    <t>Причина выдачи задания</t>
  </si>
  <si>
    <t>Параметры настройки (уставки) и алгоритм функционирования устройств РЗА</t>
  </si>
  <si>
    <t>V4.70.02</t>
  </si>
  <si>
    <t>Версия (реквизиты, название и номер версии) программного обеспечения микропроцессорного устройства</t>
  </si>
  <si>
    <t>Диспетчерское наименование</t>
  </si>
  <si>
    <t xml:space="preserve">6MD664 </t>
  </si>
  <si>
    <t/>
  </si>
  <si>
    <t>УTBEPЖДAЮ</t>
  </si>
  <si>
    <t xml:space="preserve">    УTBEPЖДAЮ</t>
  </si>
  <si>
    <t>Терминал защиты 6MD664 V4.70.02</t>
  </si>
  <si>
    <r>
      <rPr>
        <sz val="14"/>
        <rFont val="Times New Roman"/>
        <family val="1"/>
        <charset val="204"/>
      </rPr>
      <t xml:space="preserve"> </t>
    </r>
    <r>
      <rPr>
        <b/>
        <sz val="14"/>
        <rFont val="Times New Roman"/>
        <family val="1"/>
        <charset val="204"/>
      </rPr>
      <t>Ктт = 1000 / 1     Kтн =  2200-</t>
    </r>
    <r>
      <rPr>
        <b/>
        <sz val="14"/>
        <rFont val="Symbol"/>
        <family val="1"/>
        <charset val="2"/>
      </rPr>
      <t>U</t>
    </r>
    <r>
      <rPr>
        <b/>
        <sz val="14"/>
        <rFont val="Times New Roman"/>
        <family val="1"/>
        <charset val="204"/>
      </rPr>
      <t xml:space="preserve"> 
</t>
    </r>
  </si>
  <si>
    <t>2. Примечания:</t>
  </si>
  <si>
    <t>* - параметры уточняются при наладке с учётом характеристик оборудования и схем вторичных цепей.</t>
  </si>
  <si>
    <t>·</t>
  </si>
  <si>
    <t>Группа синхронизации 7 используется при АПВ.</t>
  </si>
  <si>
    <t>Оперативно выбираемые режимы АПВ (от ключа выбора режима АПВ):</t>
  </si>
  <si>
    <t>1. КС</t>
  </si>
  <si>
    <t>4. "Слепое" АПВ</t>
  </si>
  <si>
    <t>Группа синхронизации 8 используется при оперативном включении.</t>
  </si>
  <si>
    <t>Введено*</t>
  </si>
  <si>
    <t>Выведено*</t>
  </si>
  <si>
    <t>0.1 сек*</t>
  </si>
  <si>
    <t>0.15 сек*</t>
  </si>
  <si>
    <t>5.0 сек</t>
  </si>
  <si>
    <t>0.5 сек</t>
  </si>
  <si>
    <t>0.6 сек*</t>
  </si>
  <si>
    <t>100 В*</t>
  </si>
  <si>
    <t>1 А*</t>
  </si>
  <si>
    <t>0.06 сек*</t>
  </si>
  <si>
    <t>1*</t>
  </si>
  <si>
    <t>330 °*</t>
  </si>
  <si>
    <t>Синхронизируемый коммутационный аппарат</t>
  </si>
  <si>
    <t>-*</t>
  </si>
  <si>
    <t>0.4 Гц</t>
  </si>
  <si>
    <t>Q*</t>
  </si>
  <si>
    <t>Команд. вкл. действует через упр. объект</t>
  </si>
  <si>
    <t>нет*</t>
  </si>
  <si>
    <t>Устройство, на которое воздействует команда включения</t>
  </si>
  <si>
    <t>Внутренняя синхронизация</t>
  </si>
  <si>
    <t>нет
СИНХР функция 6
СИНХР функция 7
СИНХР функция 8</t>
  </si>
  <si>
    <t>Терминал синхронизации, используемый при ТАПВ</t>
  </si>
  <si>
    <t>1800 сек*</t>
  </si>
  <si>
    <t>ДА*</t>
  </si>
  <si>
    <t>ОТКЛ*</t>
  </si>
  <si>
    <r>
      <t xml:space="preserve">Номинальное значение вторич напряжения </t>
    </r>
    <r>
      <rPr>
        <b/>
        <sz val="11"/>
        <color rgb="FF808080"/>
        <rFont val="Calibri"/>
        <family val="2"/>
        <charset val="204"/>
        <scheme val="minor"/>
      </rPr>
      <t>U1 = UАВ ТН 1С 220 кВ</t>
    </r>
  </si>
  <si>
    <r>
      <t xml:space="preserve">Номинальное значение вторич напряжения </t>
    </r>
    <r>
      <rPr>
        <b/>
        <sz val="11"/>
        <color rgb="FF808080"/>
        <rFont val="Calibri"/>
        <family val="2"/>
        <charset val="204"/>
        <scheme val="minor"/>
      </rPr>
      <t>U1 = UАВ Т-1 10 кВ</t>
    </r>
  </si>
  <si>
    <t>ПС 220 кВ Аэропорт       
В 220 Т-1</t>
  </si>
  <si>
    <t>ПС 220 кВ Аэропорт         В 220 Т-1</t>
  </si>
  <si>
    <t>Исполнитель:</t>
  </si>
  <si>
    <r>
      <t xml:space="preserve">С.В. Мирочник, 33-59, </t>
    </r>
    <r>
      <rPr>
        <sz val="10"/>
        <color theme="1"/>
        <rFont val="Times New Roman"/>
        <family val="1"/>
        <charset val="204"/>
      </rPr>
      <t xml:space="preserve">249-82-59 </t>
    </r>
    <r>
      <rPr>
        <u/>
        <sz val="10"/>
        <color rgb="FF0000FF"/>
        <rFont val="Times New Roman"/>
        <family val="1"/>
        <charset val="204"/>
      </rPr>
      <t xml:space="preserve">msv@prim.so-ups.ru </t>
    </r>
  </si>
  <si>
    <t>Уставки выданы:</t>
  </si>
  <si>
    <t>Уставки выставлены:</t>
  </si>
  <si>
    <t>ВКЛ*</t>
  </si>
  <si>
    <t>Требование о необходимости проверки соответствия фактических коэффициентов трансформации измерительных трансформаторов</t>
  </si>
  <si>
    <t>Проверить соответствие фактических коэффициентов трансформации измерительных трансформаторов указанным в задании.</t>
  </si>
  <si>
    <t>2. (КОНЛ и КННШ) или КС</t>
  </si>
  <si>
    <t>3. (КННЛ и КОНШ) или КС</t>
  </si>
  <si>
    <t>0.05 А</t>
  </si>
  <si>
    <t>СИНХР. Группа функций 6</t>
  </si>
  <si>
    <t>0x2000041064A3</t>
  </si>
  <si>
    <t>0x200004106982</t>
  </si>
  <si>
    <t>0x200004106983</t>
  </si>
  <si>
    <t>0x200004106984</t>
  </si>
  <si>
    <t>0x200004106985</t>
  </si>
  <si>
    <t>0x200004106986</t>
  </si>
  <si>
    <t>60 В*</t>
  </si>
  <si>
    <t>0x200004106987</t>
  </si>
  <si>
    <t>120 В*</t>
  </si>
  <si>
    <t>0x200004106988</t>
  </si>
  <si>
    <t>50 В*</t>
  </si>
  <si>
    <t>0x200004106989</t>
  </si>
  <si>
    <t>НЕТ*</t>
  </si>
  <si>
    <t>0x20000410698A</t>
  </si>
  <si>
    <t>0x20000410698B</t>
  </si>
  <si>
    <t>0x2000041064A7</t>
  </si>
  <si>
    <t>60 сек*</t>
  </si>
  <si>
    <t>0x2000041064B1</t>
  </si>
  <si>
    <t>97 %*</t>
  </si>
  <si>
    <t>0x2000041064B2</t>
  </si>
  <si>
    <t>101 %*</t>
  </si>
  <si>
    <t>0x200004106990</t>
  </si>
  <si>
    <t>22.7 В*</t>
  </si>
  <si>
    <t>0x20000410698D</t>
  </si>
  <si>
    <t>0.4 Гц*</t>
  </si>
  <si>
    <t>0x20000410698F</t>
  </si>
  <si>
    <t>40 мГц*</t>
  </si>
  <si>
    <t>0x20000410698C</t>
  </si>
  <si>
    <t>0x20000410698E</t>
  </si>
  <si>
    <t>40 °*</t>
  </si>
  <si>
    <t>0x200004106991</t>
  </si>
  <si>
    <t>0.3 сек*</t>
  </si>
  <si>
    <t>60 В</t>
  </si>
  <si>
    <t>120 В</t>
  </si>
  <si>
    <t>50 В</t>
  </si>
  <si>
    <t>22.7 В</t>
  </si>
  <si>
    <t>48 В</t>
  </si>
  <si>
    <t>30 В</t>
  </si>
  <si>
    <t>29 В</t>
  </si>
  <si>
    <t>« 27» июля 2022 г</t>
  </si>
  <si>
    <t xml:space="preserve"> АУВ и УРОВ (6MD664) В 220 Т-1</t>
  </si>
  <si>
    <t>В соответствии с актуальным файлом конфигурации МП терминала</t>
  </si>
  <si>
    <t>Не требуется</t>
  </si>
  <si>
    <t>Таблица уставок №  б1-V-22-407</t>
  </si>
  <si>
    <t>ЗАДАНИЕ ПО НАСТРОЙКЕ УСТРОЙСТВ РЗА №  б1-V-22-407</t>
  </si>
  <si>
    <t>№ б-II-19-230и</t>
  </si>
  <si>
    <t>Не выдавалось</t>
  </si>
  <si>
    <t xml:space="preserve">« 27 » июля  2022 г   </t>
  </si>
  <si>
    <t>Зам. начальника СРЗА                         К.М. Иванов</t>
  </si>
  <si>
    <t>TAБЛИЦA  УCTABOK  PEЛEЙHOЙ  ЗAЩИTЫ № б1-V-22-407</t>
  </si>
  <si>
    <t>Таблица № б-II-19-230и отменяется в связи с уточнением параметров настройки.</t>
  </si>
  <si>
    <t>Уставки выданы: Р45-б1-V-19-1132</t>
  </si>
  <si>
    <t>Уставки выставлены: М3/П2/2/700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</si>
</sst>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b/>
      <sz val="13"/>
      <color theme="1"/>
      <name val="Calibri"/>
      <family val="2"/>
      <scheme val="minor"/>
    </font>
    <font>
      <b/>
      <sz val="11"/>
      <color theme="1"/>
      <name val="Calibri"/>
      <family val="2"/>
      <scheme val="minor"/>
    </font>
    <font>
      <sz val="3"/>
      <color rgb="FFFFFFFF"/>
      <name val="Calibri"/>
      <family val="2"/>
      <scheme val="minor"/>
    </font>
    <font>
      <sz val="12"/>
      <name val="Times New Roman"/>
      <family val="1"/>
      <charset val="204"/>
    </font>
    <font>
      <b/>
      <sz val="12"/>
      <name val="Times New Roman"/>
      <family val="1"/>
      <charset val="204"/>
    </font>
    <font>
      <b/>
      <sz val="14"/>
      <name val="Times New Roman"/>
      <family val="1"/>
      <charset val="204"/>
    </font>
    <font>
      <sz val="11"/>
      <name val="Times New Roman"/>
      <family val="1"/>
      <charset val="204"/>
    </font>
    <font>
      <b/>
      <sz val="10"/>
      <name val="Arial Cyr"/>
      <charset val="204"/>
    </font>
    <font>
      <sz val="11"/>
      <name val="Calibri"/>
      <family val="2"/>
      <charset val="204"/>
      <scheme val="minor"/>
    </font>
    <font>
      <sz val="14"/>
      <name val="Times New Roman"/>
      <family val="1"/>
      <charset val="204"/>
    </font>
    <font>
      <b/>
      <sz val="14"/>
      <name val="Symbol"/>
      <family val="1"/>
      <charset val="2"/>
    </font>
    <font>
      <b/>
      <sz val="10"/>
      <name val="Arial"/>
      <family val="2"/>
      <charset val="204"/>
    </font>
    <font>
      <sz val="11"/>
      <name val="Calibri"/>
      <family val="2"/>
      <scheme val="minor"/>
    </font>
    <font>
      <sz val="10"/>
      <name val="Arial"/>
      <family val="2"/>
      <charset val="204"/>
    </font>
    <font>
      <sz val="11"/>
      <name val="Symbol"/>
      <family val="1"/>
      <charset val="2"/>
    </font>
    <font>
      <b/>
      <sz val="11"/>
      <color rgb="FF808080"/>
      <name val="Calibri"/>
      <family val="2"/>
      <charset val="204"/>
      <scheme val="minor"/>
    </font>
    <font>
      <sz val="10"/>
      <color rgb="FF000000"/>
      <name val="Times New Roman"/>
      <family val="1"/>
      <charset val="204"/>
    </font>
    <font>
      <sz val="11"/>
      <color rgb="FF0000FF"/>
      <name val="Calibri"/>
      <family val="2"/>
      <charset val="204"/>
      <scheme val="minor"/>
    </font>
    <font>
      <sz val="10"/>
      <color theme="1"/>
      <name val="Times New Roman"/>
      <family val="1"/>
      <charset val="204"/>
    </font>
    <font>
      <u/>
      <sz val="10"/>
      <color rgb="FF0000FF"/>
      <name val="Times New Roman"/>
      <family val="1"/>
      <charset val="204"/>
    </font>
    <font>
      <i/>
      <sz val="11"/>
      <color theme="1"/>
      <name val="Calibri"/>
      <family val="2"/>
      <charset val="204"/>
      <scheme val="minor"/>
    </font>
    <font>
      <sz val="9"/>
      <color indexed="81"/>
      <name val="Tahoma"/>
      <family val="2"/>
      <charset val="204"/>
    </font>
    <font>
      <b/>
      <sz val="9"/>
      <color indexed="81"/>
      <name val="Tahoma"/>
      <family val="2"/>
      <charset val="204"/>
    </font>
    <font>
      <u/>
      <sz val="11"/>
      <color theme="10"/>
      <name val="Calibri"/>
      <family val="2"/>
      <scheme val="minor"/>
    </font>
    <font>
      <sz val="10"/>
      <name val="Arial Cyr"/>
      <charset val="204"/>
    </font>
    <font>
      <b/>
      <sz val="11"/>
      <name val="Calibri"/>
      <family val="2"/>
      <charset val="204"/>
      <scheme val="minor"/>
    </font>
    <font>
      <sz val="9"/>
      <color indexed="81"/>
      <name val="Tahoma"/>
      <charset val="1"/>
    </font>
    <font>
      <b/>
      <sz val="9"/>
      <color indexed="81"/>
      <name val="Tahoma"/>
      <charset val="1"/>
    </font>
  </fonts>
  <fills count="4">
    <fill>
      <patternFill patternType="none"/>
    </fill>
    <fill>
      <patternFill patternType="gray125"/>
    </fill>
    <fill>
      <patternFill patternType="solid">
        <fgColor rgb="FFEEECE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2" fillId="0" borderId="0"/>
    <xf numFmtId="0" fontId="26" fillId="0" borderId="0" applyNumberFormat="0" applyFill="0" applyBorder="0" applyAlignment="0" applyProtection="0"/>
    <xf numFmtId="0" fontId="27" fillId="0" borderId="0"/>
  </cellStyleXfs>
  <cellXfs count="91">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49" fontId="0" fillId="0" borderId="0" xfId="0" applyNumberFormat="1" applyAlignment="1">
      <alignment horizontal="center" vertical="center" wrapText="1"/>
    </xf>
    <xf numFmtId="0" fontId="2" fillId="0" borderId="0" xfId="1"/>
    <xf numFmtId="0" fontId="2" fillId="0" borderId="0" xfId="1" applyFont="1"/>
    <xf numFmtId="0" fontId="2" fillId="0" borderId="0" xfId="1" applyFont="1" applyFill="1" applyBorder="1"/>
    <xf numFmtId="0" fontId="6" fillId="0" borderId="1" xfId="1" applyNumberFormat="1" applyFont="1" applyFill="1" applyBorder="1" applyAlignment="1">
      <alignment horizontal="center" vertical="center" wrapText="1"/>
    </xf>
    <xf numFmtId="0" fontId="6" fillId="0" borderId="1" xfId="1" applyNumberFormat="1" applyFont="1" applyFill="1" applyBorder="1" applyAlignment="1">
      <alignment vertical="center" wrapText="1"/>
    </xf>
    <xf numFmtId="0" fontId="6" fillId="0" borderId="1" xfId="1" applyFont="1" applyFill="1" applyBorder="1" applyAlignment="1">
      <alignment horizontal="center" vertical="center" wrapText="1"/>
    </xf>
    <xf numFmtId="0" fontId="6" fillId="0" borderId="2" xfId="1" applyNumberFormat="1" applyFont="1" applyFill="1" applyBorder="1" applyAlignment="1">
      <alignment vertical="center" wrapText="1"/>
    </xf>
    <xf numFmtId="0" fontId="7" fillId="0" borderId="0" xfId="1" applyFont="1" applyFill="1" applyBorder="1" applyAlignment="1">
      <alignment horizontal="right"/>
    </xf>
    <xf numFmtId="0" fontId="2" fillId="0" borderId="0" xfId="1" applyFont="1" applyFill="1" applyBorder="1" applyAlignment="1">
      <alignment horizontal="center" vertical="center"/>
    </xf>
    <xf numFmtId="49" fontId="6" fillId="0" borderId="1" xfId="1" applyNumberFormat="1" applyFont="1" applyFill="1" applyBorder="1" applyAlignment="1">
      <alignment vertical="center" wrapText="1"/>
    </xf>
    <xf numFmtId="0" fontId="6" fillId="0" borderId="0" xfId="1" applyFont="1" applyFill="1" applyBorder="1" applyAlignment="1">
      <alignment horizontal="right"/>
    </xf>
    <xf numFmtId="0" fontId="2" fillId="0" borderId="0" xfId="1" applyFont="1" applyFill="1" applyBorder="1" applyAlignment="1">
      <alignment horizontal="right" vertical="center"/>
    </xf>
    <xf numFmtId="0" fontId="8" fillId="0" borderId="0" xfId="1" applyNumberFormat="1" applyFont="1" applyFill="1" applyBorder="1" applyAlignment="1">
      <alignment horizontal="center" vertical="center" wrapText="1"/>
    </xf>
    <xf numFmtId="0" fontId="6" fillId="0" borderId="0" xfId="1" applyFont="1" applyFill="1" applyBorder="1" applyAlignment="1">
      <alignment horizontal="center"/>
    </xf>
    <xf numFmtId="49" fontId="2" fillId="0" borderId="0" xfId="1" applyNumberFormat="1" applyFont="1" applyFill="1" applyBorder="1" applyAlignment="1">
      <alignment horizontal="center" vertical="center"/>
    </xf>
    <xf numFmtId="0" fontId="9" fillId="0" borderId="0" xfId="1" applyFont="1" applyFill="1" applyBorder="1" applyAlignment="1">
      <alignment horizontal="right"/>
    </xf>
    <xf numFmtId="49" fontId="0" fillId="0" borderId="0" xfId="0" applyNumberFormat="1" applyFont="1" applyFill="1" applyAlignment="1" applyProtection="1">
      <alignment horizontal="center" vertical="center"/>
      <protection locked="0"/>
    </xf>
    <xf numFmtId="0" fontId="0" fillId="0" borderId="0" xfId="0" applyFont="1" applyFill="1" applyAlignment="1" applyProtection="1">
      <alignment horizontal="center" vertical="center"/>
      <protection locked="0"/>
    </xf>
    <xf numFmtId="49" fontId="0" fillId="0" borderId="0" xfId="0" applyNumberFormat="1" applyAlignment="1" applyProtection="1">
      <alignment vertical="center" wrapText="1"/>
      <protection locked="0"/>
    </xf>
    <xf numFmtId="49" fontId="0" fillId="0" borderId="0" xfId="0" applyNumberFormat="1" applyAlignment="1" applyProtection="1">
      <alignment horizontal="center" vertical="center" wrapText="1"/>
      <protection locked="0"/>
    </xf>
    <xf numFmtId="0" fontId="7" fillId="0" borderId="0" xfId="0" applyFont="1" applyFill="1" applyAlignment="1" applyProtection="1">
      <alignment horizontal="center"/>
      <protection locked="0"/>
    </xf>
    <xf numFmtId="0" fontId="10" fillId="0" borderId="0" xfId="0" applyFont="1" applyFill="1" applyAlignment="1" applyProtection="1">
      <alignment horizontal="right" vertical="center"/>
      <protection locked="0"/>
    </xf>
    <xf numFmtId="49" fontId="11" fillId="0" borderId="0" xfId="0" applyNumberFormat="1" applyFont="1" applyFill="1" applyAlignment="1" applyProtection="1">
      <alignment horizontal="center" vertical="center"/>
      <protection locked="0"/>
    </xf>
    <xf numFmtId="0" fontId="11" fillId="0" borderId="0" xfId="0" applyFont="1" applyFill="1" applyAlignment="1" applyProtection="1">
      <alignment horizontal="center" vertical="center"/>
      <protection locked="0"/>
    </xf>
    <xf numFmtId="0" fontId="7" fillId="0" borderId="0" xfId="0" applyFont="1" applyFill="1" applyAlignment="1" applyProtection="1">
      <alignment horizontal="left"/>
      <protection locked="0"/>
    </xf>
    <xf numFmtId="49" fontId="11" fillId="0" borderId="0" xfId="0" applyNumberFormat="1" applyFont="1" applyAlignment="1" applyProtection="1">
      <alignment horizontal="center" vertical="center" wrapText="1"/>
      <protection locked="0"/>
    </xf>
    <xf numFmtId="0" fontId="0" fillId="0" borderId="1" xfId="0" applyBorder="1" applyAlignment="1">
      <alignment horizontal="center" vertical="center" wrapText="1"/>
    </xf>
    <xf numFmtId="0" fontId="0" fillId="0" borderId="1" xfId="0" applyBorder="1" applyAlignment="1">
      <alignment horizontal="left" vertical="center" wrapText="1"/>
    </xf>
    <xf numFmtId="0" fontId="5" fillId="0" borderId="1" xfId="0" applyFont="1" applyBorder="1" applyAlignment="1">
      <alignment horizontal="center" vertical="center" wrapText="1"/>
    </xf>
    <xf numFmtId="49" fontId="15" fillId="0" borderId="0" xfId="0" applyNumberFormat="1" applyFont="1" applyFill="1" applyAlignment="1">
      <alignment horizontal="center" vertical="center" wrapText="1"/>
    </xf>
    <xf numFmtId="0" fontId="15" fillId="0" borderId="0" xfId="0" applyFont="1" applyFill="1" applyAlignment="1">
      <alignment horizontal="left" vertical="center" wrapText="1"/>
    </xf>
    <xf numFmtId="49" fontId="17" fillId="0" borderId="0" xfId="0" applyNumberFormat="1" applyFont="1" applyFill="1" applyAlignment="1">
      <alignment horizontal="center" vertical="top"/>
    </xf>
    <xf numFmtId="0" fontId="15" fillId="0" borderId="0" xfId="0" applyFont="1" applyAlignment="1">
      <alignment horizontal="left" vertical="center" wrapText="1"/>
    </xf>
    <xf numFmtId="0" fontId="0" fillId="3" borderId="1" xfId="0" applyFill="1" applyBorder="1" applyAlignment="1">
      <alignment horizontal="left" vertical="center" wrapText="1"/>
    </xf>
    <xf numFmtId="0" fontId="0" fillId="0" borderId="1" xfId="0" applyFill="1" applyBorder="1" applyAlignment="1">
      <alignment horizontal="left" vertical="center" wrapText="1"/>
    </xf>
    <xf numFmtId="49" fontId="1" fillId="0" borderId="0" xfId="1" applyNumberFormat="1" applyFont="1" applyFill="1" applyBorder="1" applyAlignment="1">
      <alignment horizontal="center" vertical="center"/>
    </xf>
    <xf numFmtId="0" fontId="1" fillId="0" borderId="0" xfId="1" applyFont="1" applyFill="1" applyBorder="1" applyAlignment="1">
      <alignment horizontal="center" vertical="center"/>
    </xf>
    <xf numFmtId="0" fontId="1" fillId="0" borderId="0" xfId="1" applyFont="1" applyFill="1" applyBorder="1"/>
    <xf numFmtId="0" fontId="19" fillId="0" borderId="0" xfId="0" applyFont="1" applyAlignment="1">
      <alignment horizontal="left" vertical="center" readingOrder="1"/>
    </xf>
    <xf numFmtId="49" fontId="20" fillId="0" borderId="0" xfId="0" applyNumberFormat="1" applyFont="1" applyAlignment="1">
      <alignment horizontal="left" vertical="center" wrapText="1"/>
    </xf>
    <xf numFmtId="49" fontId="23" fillId="0" borderId="0" xfId="0" applyNumberFormat="1" applyFont="1" applyAlignment="1">
      <alignment vertical="center" wrapText="1"/>
    </xf>
    <xf numFmtId="49" fontId="0" fillId="0" borderId="0" xfId="0" applyNumberFormat="1" applyAlignment="1">
      <alignment vertical="center" wrapText="1"/>
    </xf>
    <xf numFmtId="49" fontId="9" fillId="0" borderId="0" xfId="0" applyNumberFormat="1" applyFont="1" applyFill="1" applyAlignment="1">
      <alignment vertical="center" wrapText="1"/>
    </xf>
    <xf numFmtId="49" fontId="9" fillId="0" borderId="0" xfId="0" applyNumberFormat="1" applyFont="1" applyFill="1" applyAlignment="1">
      <alignment horizontal="left" vertical="center" wrapText="1"/>
    </xf>
    <xf numFmtId="14" fontId="6" fillId="0" borderId="1" xfId="1" applyNumberFormat="1" applyFont="1" applyFill="1" applyBorder="1" applyAlignment="1">
      <alignment horizontal="left" vertical="center" wrapText="1"/>
    </xf>
    <xf numFmtId="0" fontId="4" fillId="2" borderId="1" xfId="0" applyFont="1" applyFill="1" applyBorder="1" applyAlignment="1">
      <alignment horizontal="center" vertical="center" wrapText="1"/>
    </xf>
    <xf numFmtId="49" fontId="16" fillId="0" borderId="0" xfId="0" applyNumberFormat="1" applyFont="1" applyAlignment="1">
      <alignment horizontal="left" vertical="center" wrapText="1"/>
    </xf>
    <xf numFmtId="0" fontId="6" fillId="0" borderId="1"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1" xfId="3" applyFont="1" applyFill="1" applyBorder="1" applyAlignment="1">
      <alignment horizontal="center" vertical="center"/>
    </xf>
    <xf numFmtId="0" fontId="6" fillId="0" borderId="0" xfId="0" applyFont="1" applyFill="1" applyAlignment="1" applyProtection="1">
      <alignment horizontal="right"/>
      <protection locked="0"/>
    </xf>
    <xf numFmtId="49" fontId="0" fillId="0" borderId="0" xfId="0" applyNumberFormat="1" applyFont="1" applyAlignment="1" applyProtection="1">
      <alignment vertical="center" wrapText="1"/>
      <protection locked="0"/>
    </xf>
    <xf numFmtId="49" fontId="16" fillId="0" borderId="0" xfId="0" applyNumberFormat="1" applyFont="1" applyAlignment="1">
      <alignment horizontal="left"/>
    </xf>
    <xf numFmtId="0" fontId="14" fillId="0" borderId="0" xfId="0" applyFont="1" applyAlignment="1">
      <alignment horizontal="left"/>
    </xf>
    <xf numFmtId="49" fontId="15" fillId="0" borderId="0" xfId="0" applyNumberFormat="1" applyFont="1" applyFill="1" applyAlignment="1">
      <alignment horizontal="center" wrapText="1"/>
    </xf>
    <xf numFmtId="0" fontId="15" fillId="0" borderId="0" xfId="0" applyFont="1" applyFill="1" applyAlignment="1">
      <alignment horizontal="left" wrapText="1"/>
    </xf>
    <xf numFmtId="0" fontId="0" fillId="0" borderId="0" xfId="0" applyAlignment="1"/>
    <xf numFmtId="49" fontId="17" fillId="0" borderId="0" xfId="0" applyNumberFormat="1" applyFont="1" applyFill="1" applyAlignment="1">
      <alignment horizontal="center"/>
    </xf>
    <xf numFmtId="49" fontId="17" fillId="0" borderId="0" xfId="0" applyNumberFormat="1" applyFont="1" applyFill="1" applyAlignment="1">
      <alignment horizontal="right"/>
    </xf>
    <xf numFmtId="0" fontId="26" fillId="0" borderId="0" xfId="2" applyAlignment="1">
      <alignment vertical="center"/>
    </xf>
    <xf numFmtId="0" fontId="6" fillId="0" borderId="0" xfId="1" applyNumberFormat="1" applyFont="1" applyFill="1" applyBorder="1" applyAlignment="1">
      <alignment horizontal="center" vertical="center" wrapText="1"/>
    </xf>
    <xf numFmtId="0" fontId="8" fillId="0" borderId="0" xfId="1" applyNumberFormat="1" applyFont="1" applyFill="1" applyBorder="1" applyAlignment="1">
      <alignment horizontal="center" vertical="center" wrapText="1"/>
    </xf>
    <xf numFmtId="0" fontId="8" fillId="0" borderId="3" xfId="1" applyNumberFormat="1" applyFont="1" applyFill="1" applyBorder="1" applyAlignment="1">
      <alignment horizontal="center" vertical="center" wrapText="1"/>
    </xf>
    <xf numFmtId="49" fontId="16" fillId="0" borderId="0" xfId="0" applyNumberFormat="1" applyFont="1" applyAlignment="1">
      <alignment horizontal="left" wrapText="1"/>
    </xf>
    <xf numFmtId="49" fontId="0" fillId="0" borderId="1" xfId="0" applyNumberFormat="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8" fillId="0" borderId="0" xfId="0" applyNumberFormat="1" applyFont="1" applyFill="1" applyAlignment="1" applyProtection="1">
      <alignment horizontal="center" wrapText="1"/>
      <protection locked="0"/>
    </xf>
    <xf numFmtId="0" fontId="8" fillId="0" borderId="0" xfId="0" applyNumberFormat="1" applyFont="1" applyFill="1" applyAlignment="1" applyProtection="1">
      <alignment horizontal="center" vertical="center" wrapText="1"/>
      <protection locked="0"/>
    </xf>
    <xf numFmtId="0" fontId="8" fillId="0" borderId="0" xfId="0" applyNumberFormat="1" applyFont="1" applyFill="1" applyAlignment="1" applyProtection="1">
      <alignment horizontal="left" vertical="center" wrapText="1"/>
      <protection locked="0"/>
    </xf>
    <xf numFmtId="49" fontId="8" fillId="0" borderId="3" xfId="0" applyNumberFormat="1" applyFont="1" applyFill="1" applyBorder="1" applyAlignment="1">
      <alignment horizontal="left" vertical="center" wrapText="1"/>
    </xf>
    <xf numFmtId="0" fontId="14" fillId="0" borderId="0" xfId="0" applyFont="1" applyAlignment="1">
      <alignment horizontal="left" vertical="center"/>
    </xf>
    <xf numFmtId="0" fontId="3" fillId="2" borderId="1" xfId="0" applyFont="1" applyFill="1" applyBorder="1" applyAlignment="1">
      <alignment horizontal="left"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3" xfId="0" applyFont="1" applyFill="1" applyBorder="1" applyAlignment="1">
      <alignment horizontal="center" vertical="center" wrapText="1"/>
    </xf>
    <xf numFmtId="49" fontId="0" fillId="0" borderId="4" xfId="0" applyNumberFormat="1" applyBorder="1" applyAlignment="1">
      <alignment horizontal="center" vertical="center" wrapText="1"/>
    </xf>
    <xf numFmtId="49" fontId="0" fillId="0" borderId="5" xfId="0" applyNumberFormat="1" applyBorder="1" applyAlignment="1">
      <alignment horizontal="center" vertical="center" wrapText="1"/>
    </xf>
    <xf numFmtId="49" fontId="0" fillId="0" borderId="6" xfId="0" applyNumberFormat="1" applyBorder="1" applyAlignment="1">
      <alignment horizontal="center" vertical="center" wrapText="1"/>
    </xf>
    <xf numFmtId="49" fontId="0" fillId="0" borderId="0" xfId="0" applyNumberFormat="1" applyAlignment="1">
      <alignment horizontal="center" vertical="center" wrapText="1"/>
    </xf>
    <xf numFmtId="49" fontId="28" fillId="0" borderId="1" xfId="0" applyNumberFormat="1" applyFont="1" applyBorder="1" applyAlignment="1">
      <alignment horizontal="center" vertical="center" wrapText="1"/>
    </xf>
    <xf numFmtId="49" fontId="11" fillId="0" borderId="1" xfId="0" applyNumberFormat="1" applyFont="1" applyBorder="1" applyAlignment="1">
      <alignment horizontal="center" vertical="center" wrapText="1"/>
    </xf>
  </cellXfs>
  <cellStyles count="4">
    <cellStyle name="Гиперссылка" xfId="2" builtinId="8"/>
    <cellStyle name="Обычный" xfId="0" builtinId="0"/>
    <cellStyle name="Обычный 2" xfId="1"/>
    <cellStyle name="Обычный 3" xfId="3"/>
  </cellStyles>
  <dxfs count="0"/>
  <tableStyles count="0" defaultTableStyle="TableStyleMedium9" defaultPivotStyle="PivotStyleLight16"/>
  <colors>
    <mruColors>
      <color rgb="FF80808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1881825</xdr:colOff>
      <xdr:row>4</xdr:row>
      <xdr:rowOff>90094</xdr:rowOff>
    </xdr:to>
    <xdr:pic>
      <xdr:nvPicPr>
        <xdr:cNvPr id="7" name="Рисунок 6" descr="C:\Users\prim_miv\AppData\Local\Microsoft\Windows\INetCache\Content.Word\logo_prim_rdu202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520000" cy="861619"/>
        </a:xfrm>
        <a:prstGeom prst="rect">
          <a:avLst/>
        </a:prstGeom>
        <a:noFill/>
        <a:ln>
          <a:noFill/>
        </a:ln>
      </xdr:spPr>
    </xdr:pic>
    <xdr:clientData/>
  </xdr:twoCellAnchor>
  <xdr:twoCellAnchor editAs="oneCell">
    <xdr:from>
      <xdr:col>3</xdr:col>
      <xdr:colOff>1171574</xdr:colOff>
      <xdr:row>0</xdr:row>
      <xdr:rowOff>195261</xdr:rowOff>
    </xdr:from>
    <xdr:to>
      <xdr:col>3</xdr:col>
      <xdr:colOff>1795144</xdr:colOff>
      <xdr:row>3</xdr:row>
      <xdr:rowOff>30478</xdr:rowOff>
    </xdr:to>
    <xdr:pic>
      <xdr:nvPicPr>
        <xdr:cNvPr id="5" name="Рисунок 4" descr="SignIb"/>
        <xdr:cNvPicPr/>
      </xdr:nvPicPr>
      <xdr:blipFill>
        <a:blip xmlns:r="http://schemas.openxmlformats.org/officeDocument/2006/relationships" r:embed="rId2">
          <a:extLst>
            <a:ext uri="{BEBA8EAE-BF5A-486C-A8C5-ECC9F3942E4B}">
              <a14:imgProps xmlns:a14="http://schemas.microsoft.com/office/drawing/2010/main">
                <a14:imgLayer r:embed="rId3">
                  <a14:imgEffect>
                    <a14:sharpenSoften amount="50000"/>
                  </a14:imgEffect>
                </a14:imgLayer>
              </a14:imgProps>
            </a:ext>
            <a:ext uri="{28A0092B-C50C-407E-A947-70E740481C1C}">
              <a14:useLocalDpi xmlns:a14="http://schemas.microsoft.com/office/drawing/2010/main" val="0"/>
            </a:ext>
          </a:extLst>
        </a:blip>
        <a:srcRect/>
        <a:stretch>
          <a:fillRect/>
        </a:stretch>
      </xdr:blipFill>
      <xdr:spPr bwMode="auto">
        <a:xfrm>
          <a:off x="4124324" y="195261"/>
          <a:ext cx="623570" cy="416242"/>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498583</xdr:colOff>
      <xdr:row>4</xdr:row>
      <xdr:rowOff>67869</xdr:rowOff>
    </xdr:to>
    <xdr:pic>
      <xdr:nvPicPr>
        <xdr:cNvPr id="5" name="Рисунок 4" descr="C:\Users\prim_miv\AppData\Local\Microsoft\Windows\INetCache\Content.Word\logo_prim_rdu202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520000" cy="861619"/>
        </a:xfrm>
        <a:prstGeom prst="rect">
          <a:avLst/>
        </a:prstGeom>
        <a:noFill/>
        <a:ln>
          <a:noFill/>
        </a:ln>
      </xdr:spPr>
    </xdr:pic>
    <xdr:clientData/>
  </xdr:twoCellAnchor>
  <xdr:twoCellAnchor editAs="oneCell">
    <xdr:from>
      <xdr:col>7</xdr:col>
      <xdr:colOff>1365250</xdr:colOff>
      <xdr:row>0</xdr:row>
      <xdr:rowOff>179916</xdr:rowOff>
    </xdr:from>
    <xdr:to>
      <xdr:col>7</xdr:col>
      <xdr:colOff>1988820</xdr:colOff>
      <xdr:row>3</xdr:row>
      <xdr:rowOff>8254</xdr:rowOff>
    </xdr:to>
    <xdr:pic>
      <xdr:nvPicPr>
        <xdr:cNvPr id="4" name="Рисунок 3" descr="SignIb"/>
        <xdr:cNvPicPr/>
      </xdr:nvPicPr>
      <xdr:blipFill>
        <a:blip xmlns:r="http://schemas.openxmlformats.org/officeDocument/2006/relationships" r:embed="rId2">
          <a:extLst>
            <a:ext uri="{BEBA8EAE-BF5A-486C-A8C5-ECC9F3942E4B}">
              <a14:imgProps xmlns:a14="http://schemas.microsoft.com/office/drawing/2010/main">
                <a14:imgLayer r:embed="rId3">
                  <a14:imgEffect>
                    <a14:sharpenSoften amount="50000"/>
                  </a14:imgEffect>
                </a14:imgLayer>
              </a14:imgProps>
            </a:ext>
            <a:ext uri="{28A0092B-C50C-407E-A947-70E740481C1C}">
              <a14:useLocalDpi xmlns:a14="http://schemas.microsoft.com/office/drawing/2010/main" val="0"/>
            </a:ext>
          </a:extLst>
        </a:blip>
        <a:srcRect/>
        <a:stretch>
          <a:fillRect/>
        </a:stretch>
      </xdr:blipFill>
      <xdr:spPr bwMode="auto">
        <a:xfrm>
          <a:off x="7852833" y="179916"/>
          <a:ext cx="623570" cy="4210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057;&#1056;&#1047;&#1040;/&#1059;&#1089;&#1090;&#1072;&#1074;&#1082;&#1080;/&#1056;&#1040;&#1057;&#1063;&#1045;&#1058;&#1067;%20&#1059;&#1057;&#1058;&#1040;&#1042;&#1054;&#1050;/!!!Siemens,%20&#1086;&#1073;&#1097;&#1080;&#1077;%20&#1082;&#1086;&#1084;&#1084;&#1077;&#1085;&#1090;&#1072;&#1088;&#1080;&#108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MD"/>
      <sheetName val="7SD"/>
      <sheetName val="7SA"/>
      <sheetName val="7SJ"/>
      <sheetName val="7UT"/>
    </sheetNames>
    <sheetDataSet>
      <sheetData sheetId="0">
        <row r="1">
          <cell r="A1" t="str">
            <v xml:space="preserve"> Адрес</v>
          </cell>
          <cell r="B1" t="str">
            <v>Общее описание</v>
          </cell>
        </row>
        <row r="2">
          <cell r="A2" t="str">
            <v>0134</v>
          </cell>
          <cell r="B2" t="str">
            <v>с Отключением без времени действия</v>
          </cell>
        </row>
        <row r="3">
          <cell r="A3" t="str">
            <v>0190</v>
          </cell>
          <cell r="B3" t="str">
            <v>Пустые или под звездочку</v>
          </cell>
        </row>
        <row r="4">
          <cell r="A4" t="str">
            <v>0191</v>
          </cell>
          <cell r="B4" t="str">
            <v>Пустые или под звездочку</v>
          </cell>
        </row>
        <row r="5">
          <cell r="A5" t="str">
            <v>0203</v>
          </cell>
          <cell r="B5" t="str">
            <v>Линейное</v>
          </cell>
        </row>
        <row r="6">
          <cell r="A6" t="str">
            <v>0204</v>
          </cell>
          <cell r="B6" t="str">
            <v>Линейное</v>
          </cell>
        </row>
        <row r="7">
          <cell r="A7" t="str">
            <v>0240</v>
          </cell>
          <cell r="B7" t="str">
            <v>50 мс. Под звездочку. Табл.3 ИП 226 SG EA от 2014-07-07</v>
          </cell>
        </row>
        <row r="8">
          <cell r="A8" t="str">
            <v>0241</v>
          </cell>
          <cell r="B8" t="str">
            <v>Под звездочку</v>
          </cell>
        </row>
        <row r="9">
          <cell r="A9" t="str">
            <v>0401</v>
          </cell>
          <cell r="B9" t="str">
            <v>Пустые или под звездочку, а лучше удалить</v>
          </cell>
        </row>
        <row r="10">
          <cell r="A10" t="str">
            <v>0402</v>
          </cell>
          <cell r="B10" t="str">
            <v>Пустые или под звездочку, а лучше удалить</v>
          </cell>
        </row>
        <row r="11">
          <cell r="A11" t="str">
            <v>0407</v>
          </cell>
          <cell r="B11" t="str">
            <v>Пустые или под звездочку, а лучше удалить</v>
          </cell>
        </row>
        <row r="12">
          <cell r="A12" t="str">
            <v>0408</v>
          </cell>
          <cell r="B12" t="str">
            <v>Пустые или под звездочку, а лучше удалить</v>
          </cell>
        </row>
        <row r="13">
          <cell r="A13" t="str">
            <v>0903</v>
          </cell>
          <cell r="B13" t="str">
            <v>5.0 сек, задаем по максимуму</v>
          </cell>
        </row>
        <row r="14">
          <cell r="A14" t="str">
            <v>0904</v>
          </cell>
          <cell r="B14" t="str">
            <v>0.5 сек, задаем по максимуму</v>
          </cell>
        </row>
        <row r="15">
          <cell r="A15" t="str">
            <v>0905</v>
          </cell>
          <cell r="B15" t="str">
            <v>0.5 сек, задаем по максимуму</v>
          </cell>
        </row>
        <row r="16">
          <cell r="A16" t="str">
            <v>0906</v>
          </cell>
          <cell r="B16" t="str">
            <v>5.0 сек, задаем по максимуму</v>
          </cell>
        </row>
        <row r="17">
          <cell r="A17" t="str">
            <v>0x2000016769DD</v>
          </cell>
          <cell r="B17" t="str">
            <v>Под звездочку. Синхронизация фазных напряжений</v>
          </cell>
        </row>
        <row r="18">
          <cell r="A18" t="str">
            <v>0x2000016769DE</v>
          </cell>
          <cell r="B18" t="str">
            <v>Под звездочку. Синхронизация фазных напряжений</v>
          </cell>
        </row>
        <row r="19">
          <cell r="A19" t="str">
            <v>0x2000016769DF</v>
          </cell>
          <cell r="B19" t="str">
            <v>Под звездочку. Синхронизация фазных напряжений</v>
          </cell>
        </row>
        <row r="20">
          <cell r="A20" t="str">
            <v>0x2000016769E0</v>
          </cell>
          <cell r="B20" t="str">
            <v>Под звездочку. Синхронизация фазных напряжений</v>
          </cell>
        </row>
        <row r="21">
          <cell r="A21" t="str">
            <v>0x2000016769E1</v>
          </cell>
          <cell r="B21" t="str">
            <v>Под звездочку. Синхронизация фазных напряжений</v>
          </cell>
        </row>
        <row r="22">
          <cell r="A22" t="str">
            <v>0x2000016769E2</v>
          </cell>
          <cell r="B22" t="str">
            <v>Под звездочку. Синхронизация линейных напряжений</v>
          </cell>
        </row>
        <row r="23">
          <cell r="A23" t="str">
            <v>0x2000016769E3</v>
          </cell>
          <cell r="B23" t="str">
            <v>Под звездочку, обычно исп. для АПВ. Синхронизация линейных напряжений</v>
          </cell>
        </row>
        <row r="24">
          <cell r="A24" t="str">
            <v>0x2000016769E4</v>
          </cell>
          <cell r="B24" t="str">
            <v>Под звездочку, обычно исп. для Опер.Вкл. Синхронизация линейных напряжений</v>
          </cell>
        </row>
        <row r="25">
          <cell r="A25" t="str">
            <v>0x2000016769F1</v>
          </cell>
          <cell r="B25" t="str">
            <v>Под звездочку</v>
          </cell>
        </row>
        <row r="26">
          <cell r="A26" t="str">
            <v>0x2000016769F2</v>
          </cell>
          <cell r="B26" t="str">
            <v>Под звездочку</v>
          </cell>
        </row>
        <row r="27">
          <cell r="A27" t="str">
            <v>0x2000016769F3</v>
          </cell>
          <cell r="B27" t="str">
            <v>Под звездочку</v>
          </cell>
        </row>
        <row r="28">
          <cell r="A28" t="str">
            <v>0x2000016769F4</v>
          </cell>
          <cell r="B28" t="str">
            <v>Под звездочку</v>
          </cell>
        </row>
        <row r="29">
          <cell r="A29" t="str">
            <v>0x2000016769F5</v>
          </cell>
          <cell r="B29" t="str">
            <v>Под звездочку</v>
          </cell>
        </row>
        <row r="30">
          <cell r="A30" t="str">
            <v>0x2000016769F6</v>
          </cell>
          <cell r="B30" t="str">
            <v>Под звездочку</v>
          </cell>
        </row>
        <row r="31">
          <cell r="A31" t="str">
            <v>0x2000016769F7</v>
          </cell>
          <cell r="B31" t="str">
            <v>Под звездочку</v>
          </cell>
        </row>
        <row r="32">
          <cell r="A32" t="str">
            <v>0x2000029E6978</v>
          </cell>
          <cell r="B32" t="str">
            <v>Пустые или под звездочку</v>
          </cell>
        </row>
        <row r="33">
          <cell r="A33" t="str">
            <v>0x2000029F6978</v>
          </cell>
          <cell r="B33" t="str">
            <v>Пустые или под звездочку</v>
          </cell>
        </row>
        <row r="34">
          <cell r="A34" t="str">
            <v>0x2000029F6979</v>
          </cell>
          <cell r="B34" t="str">
            <v>Пустые или под звездочку</v>
          </cell>
        </row>
        <row r="35">
          <cell r="A35" t="str">
            <v>0x200002A26978</v>
          </cell>
          <cell r="B35" t="str">
            <v>Пустые или под звездочку</v>
          </cell>
        </row>
        <row r="36">
          <cell r="A36" t="str">
            <v>0x200002A26979</v>
          </cell>
          <cell r="B36" t="str">
            <v>Пустые или под звездочку</v>
          </cell>
        </row>
        <row r="37">
          <cell r="A37" t="str">
            <v>0x200002BB64A3</v>
          </cell>
          <cell r="B37" t="str">
            <v>Под звездочку</v>
          </cell>
        </row>
        <row r="38">
          <cell r="A38" t="str">
            <v>0x200002BB64A7</v>
          </cell>
          <cell r="B38" t="str">
            <v>Задаем 60 сек</v>
          </cell>
        </row>
        <row r="39">
          <cell r="A39" t="str">
            <v>0x200002BB64B1</v>
          </cell>
          <cell r="B39" t="str">
            <v>Задаем минимум: 95% для версии 4.7, 92% для версии 4.8</v>
          </cell>
        </row>
        <row r="40">
          <cell r="A40" t="str">
            <v>0x200002BB64B2</v>
          </cell>
          <cell r="B40" t="str">
            <v>Задаем максимум: 105% для версии 4.7, 108% для версии 4.8</v>
          </cell>
        </row>
        <row r="41">
          <cell r="A41" t="str">
            <v>0x200002BB6982</v>
          </cell>
          <cell r="B41" t="str">
            <v>Под звездочку</v>
          </cell>
        </row>
        <row r="42">
          <cell r="A42" t="str">
            <v>0x200002BB6983</v>
          </cell>
          <cell r="B42" t="str">
            <v>Под звездочку</v>
          </cell>
        </row>
        <row r="43">
          <cell r="A43" t="str">
            <v>0x200002BB6984</v>
          </cell>
          <cell r="B43" t="str">
            <v>Под звездочку. Вписать откуда подводится напряжение.</v>
          </cell>
        </row>
        <row r="44">
          <cell r="A44" t="str">
            <v>0x200002BB6985</v>
          </cell>
          <cell r="B44" t="str">
            <v>Под звездочку. Вписать откуда подводится напряжение.</v>
          </cell>
        </row>
        <row r="45">
          <cell r="A45" t="str">
            <v>0x200002BB6986</v>
          </cell>
          <cell r="B45" t="str">
            <v>СЭР; Для групп 1–5 задается в фазных величинах; "Вставить выше уставку "Синхронизируемый коммутационный аппарат", скопировать из конфига ВРУЧНУЮ!!!"</v>
          </cell>
        </row>
        <row r="46">
          <cell r="A46" t="str">
            <v>0x200002BB6986-</v>
          </cell>
          <cell r="B46" t="str">
            <v>Вставить выше уставку "Синхронизируемый коммутационный аппарат", скопировать из конфига ВРУЧНУЮ!!!</v>
          </cell>
        </row>
        <row r="47">
          <cell r="A47" t="str">
            <v>0x200002BB6987</v>
          </cell>
          <cell r="B47" t="str">
            <v>СЭР; Для групп 1–5 задается в фазных величинах.</v>
          </cell>
        </row>
        <row r="48">
          <cell r="A48" t="str">
            <v>0x200002BB6988</v>
          </cell>
          <cell r="B48" t="str">
            <v>50 В (мф); Для групп 1–5 задается в фазных величинах.</v>
          </cell>
        </row>
        <row r="49">
          <cell r="A49" t="str">
            <v>0x200002BB6989</v>
          </cell>
          <cell r="B49" t="str">
            <v>Контроль наличия U на шинах и отсутствия U на линии</v>
          </cell>
        </row>
        <row r="50">
          <cell r="A50" t="str">
            <v>0x200002BB698A</v>
          </cell>
          <cell r="B50" t="str">
            <v>Контроль отсутствия U на шинах и наличия U на линии</v>
          </cell>
        </row>
        <row r="51">
          <cell r="A51" t="str">
            <v>0x200002BB698B</v>
          </cell>
          <cell r="B51" t="str">
            <v>Контроль отсутствия U на шинах на линии</v>
          </cell>
        </row>
        <row r="52">
          <cell r="A52" t="str">
            <v>0x200002BB698C</v>
          </cell>
          <cell r="B52" t="str">
            <v>СЭР</v>
          </cell>
        </row>
        <row r="53">
          <cell r="A53" t="str">
            <v>0x200002BB698D</v>
          </cell>
          <cell r="B53" t="str">
            <v>СЭР</v>
          </cell>
        </row>
        <row r="54">
          <cell r="A54" t="str">
            <v>0x200002BB698E</v>
          </cell>
          <cell r="B54" t="str">
            <v>СЭР</v>
          </cell>
        </row>
        <row r="55">
          <cell r="A55" t="str">
            <v>0x200002BB698F</v>
          </cell>
          <cell r="B55" t="str">
            <v>СЭР, частота ниже которой работет ОС, выше которой работает УС</v>
          </cell>
        </row>
        <row r="56">
          <cell r="A56" t="str">
            <v>0x200002BB6990</v>
          </cell>
          <cell r="B56" t="str">
            <v>СЭР; Для групп 1–5 задается в фазных величинах.</v>
          </cell>
        </row>
        <row r="57">
          <cell r="A57" t="str">
            <v>0x200002BB6991</v>
          </cell>
          <cell r="B57" t="str">
            <v>Задаем 0.3 сек</v>
          </cell>
        </row>
        <row r="58">
          <cell r="A58" t="str">
            <v>0x200002BB6992</v>
          </cell>
          <cell r="B58" t="str">
            <v>Задаем oo</v>
          </cell>
        </row>
        <row r="59">
          <cell r="A59" t="str">
            <v>0x200002BB6993</v>
          </cell>
          <cell r="B59" t="str">
            <v>Задаем oo</v>
          </cell>
        </row>
        <row r="60">
          <cell r="A60" t="str">
            <v>0x200002BB6994</v>
          </cell>
          <cell r="B60" t="str">
            <v>Задаем НЕТ</v>
          </cell>
        </row>
        <row r="61">
          <cell r="A61" t="str">
            <v>0x2000040C64A3</v>
          </cell>
          <cell r="B61" t="str">
            <v>Под звездочку</v>
          </cell>
        </row>
        <row r="62">
          <cell r="A62" t="str">
            <v>0x2000040C64A7</v>
          </cell>
          <cell r="B62" t="str">
            <v>Задаем 60 сек</v>
          </cell>
        </row>
        <row r="63">
          <cell r="A63" t="str">
            <v>0x2000040C64B1</v>
          </cell>
          <cell r="B63" t="str">
            <v>Задаем минимум: 95% для версии 4.7, 92% для версии 4.8</v>
          </cell>
        </row>
        <row r="64">
          <cell r="A64" t="str">
            <v>0x2000040C64B2</v>
          </cell>
          <cell r="B64" t="str">
            <v>Задаем максимум: 105% для версии 4.7, 108% для версии 4.8</v>
          </cell>
        </row>
        <row r="65">
          <cell r="A65" t="str">
            <v>0x2000040C6982</v>
          </cell>
          <cell r="B65" t="str">
            <v>Под звездочку</v>
          </cell>
        </row>
        <row r="66">
          <cell r="A66" t="str">
            <v>0x2000040C6983</v>
          </cell>
          <cell r="B66" t="str">
            <v>Под звездочку</v>
          </cell>
        </row>
        <row r="67">
          <cell r="A67" t="str">
            <v>0x2000040C6984</v>
          </cell>
          <cell r="B67" t="str">
            <v>Под звездочку. Вписать откуда подводится напряжение.</v>
          </cell>
        </row>
        <row r="68">
          <cell r="A68" t="str">
            <v>0x2000040C6985</v>
          </cell>
          <cell r="B68" t="str">
            <v>Под звездочку. Вписать откуда подводится напряжение.</v>
          </cell>
        </row>
        <row r="69">
          <cell r="A69" t="str">
            <v>0x2000040C6986</v>
          </cell>
          <cell r="B69" t="str">
            <v>СЭР; Для групп 1–5 задается в фазных величинах; "Вставить выше уставку "Синхронизируемый коммутационный аппарат", скопировать из конфига ВРУЧНУЮ!!!"</v>
          </cell>
        </row>
        <row r="70">
          <cell r="A70" t="str">
            <v>0x2000040C6987</v>
          </cell>
          <cell r="B70" t="str">
            <v>СЭР; Для групп 1–5 задается в фазных величинах.</v>
          </cell>
        </row>
        <row r="71">
          <cell r="A71" t="str">
            <v>0x2000040C6988</v>
          </cell>
          <cell r="B71" t="str">
            <v>50 В (мф); Для групп 1–5 задается в фазных величинах.</v>
          </cell>
        </row>
        <row r="72">
          <cell r="A72" t="str">
            <v>0x2000040C6989</v>
          </cell>
          <cell r="B72" t="str">
            <v>Контроль наличия U на шинах и отсутствия U на линии</v>
          </cell>
        </row>
        <row r="73">
          <cell r="A73" t="str">
            <v>0x2000040C698A</v>
          </cell>
          <cell r="B73" t="str">
            <v>Контроль отсутствия U на шинах и наличия U на линии</v>
          </cell>
        </row>
        <row r="74">
          <cell r="A74" t="str">
            <v>0x2000040C698B</v>
          </cell>
          <cell r="B74" t="str">
            <v>Контроль отсутствия U на шинах на линии</v>
          </cell>
        </row>
        <row r="75">
          <cell r="A75" t="str">
            <v>0x2000040C698C</v>
          </cell>
          <cell r="B75" t="str">
            <v>СЭР</v>
          </cell>
        </row>
        <row r="76">
          <cell r="A76" t="str">
            <v>0x2000040C698D</v>
          </cell>
          <cell r="B76" t="str">
            <v>СЭР</v>
          </cell>
        </row>
        <row r="77">
          <cell r="A77" t="str">
            <v>0x2000040C698E</v>
          </cell>
          <cell r="B77" t="str">
            <v>СЭР</v>
          </cell>
        </row>
        <row r="78">
          <cell r="A78" t="str">
            <v>0x2000040C698F</v>
          </cell>
          <cell r="B78" t="str">
            <v>СЭР, частота ниже которой работет ОС, выше которой работает УС</v>
          </cell>
        </row>
        <row r="79">
          <cell r="A79" t="str">
            <v>0x2000040C6990</v>
          </cell>
          <cell r="B79" t="str">
            <v>СЭР; Для групп 1–5 задается в фазных величинах.</v>
          </cell>
        </row>
        <row r="80">
          <cell r="A80" t="str">
            <v>0x2000040C6991</v>
          </cell>
          <cell r="B80" t="str">
            <v>Задаем 0.3 сек</v>
          </cell>
        </row>
        <row r="81">
          <cell r="A81" t="str">
            <v>0x2000040C6992</v>
          </cell>
          <cell r="B81" t="str">
            <v>Задаем oo</v>
          </cell>
        </row>
        <row r="82">
          <cell r="A82" t="str">
            <v>0x2000040C6993</v>
          </cell>
          <cell r="B82" t="str">
            <v>Задаем oo</v>
          </cell>
        </row>
        <row r="83">
          <cell r="A83" t="str">
            <v>0x2000040C6994</v>
          </cell>
          <cell r="B83" t="str">
            <v>Задаем НЕТ</v>
          </cell>
        </row>
        <row r="84">
          <cell r="A84" t="str">
            <v>0x2000040D64A7</v>
          </cell>
          <cell r="B84" t="str">
            <v>Задаем 60 сек</v>
          </cell>
        </row>
        <row r="85">
          <cell r="A85" t="str">
            <v>0x2000040D64B1</v>
          </cell>
          <cell r="B85" t="str">
            <v>Задаем минимум: 95% для версии 4.7, 92% для версии 4.8</v>
          </cell>
        </row>
        <row r="86">
          <cell r="A86" t="str">
            <v>0x2000040D64B2</v>
          </cell>
          <cell r="B86" t="str">
            <v>Задаем максимум: 105% для версии 4.7, 108% для версии 4.8</v>
          </cell>
        </row>
        <row r="87">
          <cell r="A87" t="str">
            <v>0x2000040D6986</v>
          </cell>
          <cell r="B87" t="str">
            <v>СЭР; Для групп 1–5 задается в фазных величинах; "Вставить выше уставку "Синхронизируемый коммутационный аппарат", скопировать из конфига ВРУЧНУЮ!!!"</v>
          </cell>
        </row>
        <row r="88">
          <cell r="A88" t="str">
            <v>0x2000040D6987</v>
          </cell>
          <cell r="B88" t="str">
            <v>СЭР; Для групп 1–5 задается в фазных величинах.</v>
          </cell>
        </row>
        <row r="89">
          <cell r="A89" t="str">
            <v>0x2000040D6988</v>
          </cell>
          <cell r="B89" t="str">
            <v>50 В (мф); Для групп 1–5 задается в фазных величинах.</v>
          </cell>
        </row>
        <row r="90">
          <cell r="A90" t="str">
            <v>0x2000040D6989</v>
          </cell>
          <cell r="B90" t="str">
            <v>Контроль наличия U на шинах и отсутствия U на линии</v>
          </cell>
        </row>
        <row r="91">
          <cell r="A91" t="str">
            <v>0x2000040D698A</v>
          </cell>
          <cell r="B91" t="str">
            <v>Контроль отсутствия U на шинах и наличия U на линии</v>
          </cell>
        </row>
        <row r="92">
          <cell r="A92" t="str">
            <v>0x2000040D698B</v>
          </cell>
          <cell r="B92" t="str">
            <v>Контроль отсутствия U на шинах на линии</v>
          </cell>
        </row>
        <row r="93">
          <cell r="A93" t="str">
            <v>0x2000040D698C</v>
          </cell>
          <cell r="B93" t="str">
            <v>СЭР</v>
          </cell>
        </row>
        <row r="94">
          <cell r="A94" t="str">
            <v>0x2000040D698D</v>
          </cell>
          <cell r="B94" t="str">
            <v>СЭР</v>
          </cell>
        </row>
        <row r="95">
          <cell r="A95" t="str">
            <v>0x2000040D698E</v>
          </cell>
          <cell r="B95" t="str">
            <v>СЭР</v>
          </cell>
        </row>
        <row r="96">
          <cell r="A96" t="str">
            <v>0x2000040D698F</v>
          </cell>
          <cell r="B96" t="str">
            <v>СЭР, частота ниже которой работет ОС, выше которой работает УС</v>
          </cell>
        </row>
        <row r="97">
          <cell r="A97" t="str">
            <v>0x2000040D6990</v>
          </cell>
          <cell r="B97" t="str">
            <v>СЭР; Для групп 1–5 задается в фазных величинах.</v>
          </cell>
        </row>
        <row r="98">
          <cell r="A98" t="str">
            <v>0x2000040D6991</v>
          </cell>
          <cell r="B98" t="str">
            <v>Задаем 0.3 сек</v>
          </cell>
        </row>
        <row r="99">
          <cell r="A99" t="str">
            <v>0x2000040D6992</v>
          </cell>
          <cell r="B99" t="str">
            <v>Задаем oo</v>
          </cell>
        </row>
        <row r="100">
          <cell r="A100" t="str">
            <v>0x2000040D6993</v>
          </cell>
          <cell r="B100" t="str">
            <v>Задаем oo</v>
          </cell>
        </row>
        <row r="101">
          <cell r="A101" t="str">
            <v>0x2000040D6994</v>
          </cell>
          <cell r="B101" t="str">
            <v>Задаем НЕТ</v>
          </cell>
        </row>
        <row r="102">
          <cell r="A102" t="str">
            <v>0x2000040E64A7</v>
          </cell>
          <cell r="B102" t="str">
            <v>Задаем 60 сек</v>
          </cell>
        </row>
        <row r="103">
          <cell r="A103" t="str">
            <v>0x2000040E64B1</v>
          </cell>
          <cell r="B103" t="str">
            <v>Задаем минимум: 95% для версии 4.7, 92% для версии 4.8</v>
          </cell>
        </row>
        <row r="104">
          <cell r="A104" t="str">
            <v>0x2000040E64B2</v>
          </cell>
          <cell r="B104" t="str">
            <v>Задаем максимум: 105% для версии 4.7, 108% для версии 4.8</v>
          </cell>
        </row>
        <row r="105">
          <cell r="A105" t="str">
            <v>0x2000040E6986</v>
          </cell>
          <cell r="B105" t="str">
            <v>СЭР; Для групп 1–5 задается в фазных величинах; "Вставить выше уставку "Синхронизируемый коммутационный аппарат", скопировать из конфига ВРУЧНУЮ!!!"</v>
          </cell>
        </row>
        <row r="106">
          <cell r="A106" t="str">
            <v>0x2000040E6987</v>
          </cell>
          <cell r="B106" t="str">
            <v>СЭР; Для групп 1–5 задается в фазных величинах.</v>
          </cell>
        </row>
        <row r="107">
          <cell r="A107" t="str">
            <v>0x2000040E6988</v>
          </cell>
          <cell r="B107" t="str">
            <v>50 В (мф); Для групп 1–5 задается в фазных величинах.</v>
          </cell>
        </row>
        <row r="108">
          <cell r="A108" t="str">
            <v>0x2000040E6989</v>
          </cell>
          <cell r="B108" t="str">
            <v>Контроль наличия U на шинах и отсутствия U на линии</v>
          </cell>
        </row>
        <row r="109">
          <cell r="A109" t="str">
            <v>0x2000040E698A</v>
          </cell>
          <cell r="B109" t="str">
            <v>Контроль отсутствия U на шинах и наличия U на линии</v>
          </cell>
        </row>
        <row r="110">
          <cell r="A110" t="str">
            <v>0x2000040E698B</v>
          </cell>
          <cell r="B110" t="str">
            <v>Контроль отсутствия U на шинах на линии</v>
          </cell>
        </row>
        <row r="111">
          <cell r="A111" t="str">
            <v>0x2000040E698C</v>
          </cell>
          <cell r="B111" t="str">
            <v>СЭР</v>
          </cell>
        </row>
        <row r="112">
          <cell r="A112" t="str">
            <v>0x2000040E698D</v>
          </cell>
          <cell r="B112" t="str">
            <v>СЭР</v>
          </cell>
        </row>
        <row r="113">
          <cell r="A113" t="str">
            <v>0x2000040E698E</v>
          </cell>
          <cell r="B113" t="str">
            <v>СЭР</v>
          </cell>
        </row>
        <row r="114">
          <cell r="A114" t="str">
            <v>0x2000040E698F</v>
          </cell>
          <cell r="B114" t="str">
            <v>СЭР, частота ниже которой работет ОС, выше которой работает УС</v>
          </cell>
        </row>
        <row r="115">
          <cell r="A115" t="str">
            <v>0x2000040E6990</v>
          </cell>
          <cell r="B115" t="str">
            <v>СЭР; Для групп 1–5 задается в фазных величинах.</v>
          </cell>
        </row>
        <row r="116">
          <cell r="A116" t="str">
            <v>0x2000040E6991</v>
          </cell>
          <cell r="B116" t="str">
            <v>Задаем 0.3 сек</v>
          </cell>
        </row>
        <row r="117">
          <cell r="A117" t="str">
            <v>0x2000040E6992</v>
          </cell>
          <cell r="B117" t="str">
            <v>Задаем oo</v>
          </cell>
        </row>
        <row r="118">
          <cell r="A118" t="str">
            <v>0x2000040E6993</v>
          </cell>
          <cell r="B118" t="str">
            <v>Задаем oo</v>
          </cell>
        </row>
        <row r="119">
          <cell r="A119" t="str">
            <v>0x2000040E6994</v>
          </cell>
          <cell r="B119" t="str">
            <v>Задаем НЕТ</v>
          </cell>
        </row>
        <row r="120">
          <cell r="A120" t="str">
            <v>0x2000040F64A7</v>
          </cell>
          <cell r="B120" t="str">
            <v>Задаем 60 сек</v>
          </cell>
        </row>
        <row r="121">
          <cell r="A121" t="str">
            <v>0x2000040F64B1</v>
          </cell>
          <cell r="B121" t="str">
            <v>Задаем минимум: 95% для версии 4.7, 92% для версии 4.8</v>
          </cell>
        </row>
        <row r="122">
          <cell r="A122" t="str">
            <v>0x2000040F64B2</v>
          </cell>
          <cell r="B122" t="str">
            <v>Задаем максимум: 105% для версии 4.7, 108% для версии 4.8</v>
          </cell>
        </row>
        <row r="123">
          <cell r="A123" t="str">
            <v>0x2000040F6986</v>
          </cell>
          <cell r="B123" t="str">
            <v>СЭР; Для групп 1–5 задается в фазных величинах; "Вставить выше уставку "Синхронизируемый коммутационный аппарат", скопировать из конфига ВРУЧНУЮ!!!"</v>
          </cell>
        </row>
        <row r="124">
          <cell r="A124" t="str">
            <v>0x2000040F6987</v>
          </cell>
          <cell r="B124" t="str">
            <v>СЭР; Для групп 1–5 задается в фазных величинах.</v>
          </cell>
        </row>
        <row r="125">
          <cell r="A125" t="str">
            <v>0x2000040F6988</v>
          </cell>
          <cell r="B125" t="str">
            <v>50 В (мф); Для групп 1–5 задается в фазных величинах.</v>
          </cell>
        </row>
        <row r="126">
          <cell r="A126" t="str">
            <v>0x2000040F6989</v>
          </cell>
          <cell r="B126" t="str">
            <v>Контроль наличия U на шинах и отсутствия U на линии</v>
          </cell>
        </row>
        <row r="127">
          <cell r="A127" t="str">
            <v>0x2000040F698A</v>
          </cell>
          <cell r="B127" t="str">
            <v>Контроль отсутствия U на шинах и наличия U на линии</v>
          </cell>
        </row>
        <row r="128">
          <cell r="A128" t="str">
            <v>0x2000040F698B</v>
          </cell>
          <cell r="B128" t="str">
            <v>Контроль отсутствия U на шинах на линии</v>
          </cell>
        </row>
        <row r="129">
          <cell r="A129" t="str">
            <v>0x2000040F698C</v>
          </cell>
          <cell r="B129" t="str">
            <v>СЭР</v>
          </cell>
        </row>
        <row r="130">
          <cell r="A130" t="str">
            <v>0x2000040F698D</v>
          </cell>
          <cell r="B130" t="str">
            <v>СЭР</v>
          </cell>
        </row>
        <row r="131">
          <cell r="A131" t="str">
            <v>0x2000040F698E</v>
          </cell>
          <cell r="B131" t="str">
            <v>СЭР</v>
          </cell>
        </row>
        <row r="132">
          <cell r="A132" t="str">
            <v>0x2000040F698F</v>
          </cell>
          <cell r="B132" t="str">
            <v>СЭР, частота ниже которой работет ОС, выше которой работает УС</v>
          </cell>
        </row>
        <row r="133">
          <cell r="A133" t="str">
            <v>0x2000040F6990</v>
          </cell>
          <cell r="B133" t="str">
            <v>СЭР; Для групп 1–5 задается в фазных величинах.</v>
          </cell>
        </row>
        <row r="134">
          <cell r="A134" t="str">
            <v>0x2000040F6991</v>
          </cell>
          <cell r="B134" t="str">
            <v>Задаем 0.3 сек</v>
          </cell>
        </row>
        <row r="135">
          <cell r="A135" t="str">
            <v>0x2000040F6992</v>
          </cell>
          <cell r="B135" t="str">
            <v>Задаем oo</v>
          </cell>
        </row>
        <row r="136">
          <cell r="A136" t="str">
            <v>0x2000040F6993</v>
          </cell>
          <cell r="B136" t="str">
            <v>Задаем oo</v>
          </cell>
        </row>
        <row r="137">
          <cell r="A137" t="str">
            <v>0x2000040F6994</v>
          </cell>
          <cell r="B137" t="str">
            <v>Задаем НЕТ</v>
          </cell>
        </row>
        <row r="138">
          <cell r="A138" t="str">
            <v>0x2000041064A3</v>
          </cell>
          <cell r="B138" t="str">
            <v xml:space="preserve">Под звездочку. 6 Группа на НПС для Опер.Вкл. </v>
          </cell>
        </row>
        <row r="139">
          <cell r="A139" t="str">
            <v>0x2000041064A7</v>
          </cell>
          <cell r="B139" t="str">
            <v>Задаем 60 сек</v>
          </cell>
        </row>
        <row r="140">
          <cell r="A140" t="str">
            <v>0x2000041064B1</v>
          </cell>
          <cell r="B140" t="str">
            <v>Задаем минимум: 95% для версии 4.7, 92% для версии 4.8</v>
          </cell>
        </row>
        <row r="141">
          <cell r="A141" t="str">
            <v>0x2000041064B2</v>
          </cell>
          <cell r="B141" t="str">
            <v>Задаем максимум: 105% для версии 4.7, 108% для версии 4.8</v>
          </cell>
        </row>
        <row r="142">
          <cell r="A142" t="str">
            <v>0x200004106982</v>
          </cell>
          <cell r="B142" t="str">
            <v>Под звездочку</v>
          </cell>
        </row>
        <row r="143">
          <cell r="A143" t="str">
            <v>0x200004106983</v>
          </cell>
          <cell r="B143" t="str">
            <v>Под звездочку</v>
          </cell>
        </row>
        <row r="144">
          <cell r="A144" t="str">
            <v>0x200004106984</v>
          </cell>
          <cell r="B144" t="str">
            <v>Под звездочку. Вписать откуда подводится напряжение.</v>
          </cell>
        </row>
        <row r="145">
          <cell r="A145" t="str">
            <v>0x200004106985</v>
          </cell>
          <cell r="B145" t="str">
            <v>Под звездочку. Вписать откуда подводится напряжение.</v>
          </cell>
        </row>
        <row r="146">
          <cell r="A146" t="str">
            <v>0x200004106986</v>
          </cell>
          <cell r="B146" t="str">
            <v>СЭР; Для групп 6–8 задается в линейных величинах; "Вставить выше уставку "Синхронизируемый коммутационный аппарат", скопировать из конфига ВРУЧНУЮ!!!"</v>
          </cell>
        </row>
        <row r="147">
          <cell r="A147" t="str">
            <v>0x200004106987</v>
          </cell>
          <cell r="B147" t="str">
            <v>СЭР; Для групп 6–5 задается в линейных величинах.</v>
          </cell>
        </row>
        <row r="148">
          <cell r="A148" t="str">
            <v>0x200004106988</v>
          </cell>
          <cell r="B148" t="str">
            <v>50 В (мф); Для групп 1–5 задается в фазных величинах.</v>
          </cell>
        </row>
        <row r="149">
          <cell r="A149" t="str">
            <v>0x200004106989</v>
          </cell>
          <cell r="B149" t="str">
            <v>Контроль наличия U на шинах и отсутствия U на линии</v>
          </cell>
        </row>
        <row r="150">
          <cell r="A150" t="str">
            <v>0x20000410698A</v>
          </cell>
          <cell r="B150" t="str">
            <v>Контроль отсутствия U на шинах и наличия U на линии</v>
          </cell>
        </row>
        <row r="151">
          <cell r="A151" t="str">
            <v>0x20000410698B</v>
          </cell>
          <cell r="B151" t="str">
            <v>Контроль отсутствия U на шинах на линии</v>
          </cell>
        </row>
        <row r="152">
          <cell r="A152" t="str">
            <v>0x20000410698C</v>
          </cell>
          <cell r="B152" t="str">
            <v>СЭР</v>
          </cell>
        </row>
        <row r="153">
          <cell r="A153" t="str">
            <v>0x20000410698D</v>
          </cell>
          <cell r="B153" t="str">
            <v>СЭР</v>
          </cell>
        </row>
        <row r="154">
          <cell r="A154" t="str">
            <v>0x20000410698E</v>
          </cell>
          <cell r="B154" t="str">
            <v>СЭР</v>
          </cell>
        </row>
        <row r="155">
          <cell r="A155" t="str">
            <v>0x20000410698F</v>
          </cell>
          <cell r="B155" t="str">
            <v>СЭР, частота ниже которой работет ОС, выше которой работает УС</v>
          </cell>
        </row>
        <row r="156">
          <cell r="A156" t="str">
            <v>0x200004106990</v>
          </cell>
          <cell r="B156" t="str">
            <v>СЭР; Для групп 1–5 задается в фазных величинах.</v>
          </cell>
        </row>
        <row r="157">
          <cell r="A157" t="str">
            <v>0x200004106991</v>
          </cell>
          <cell r="B157" t="str">
            <v>Задаем 0.3 сек</v>
          </cell>
        </row>
        <row r="158">
          <cell r="A158" t="str">
            <v>0x200004106992</v>
          </cell>
          <cell r="B158" t="str">
            <v>Задаем oo</v>
          </cell>
        </row>
        <row r="159">
          <cell r="A159" t="str">
            <v>0x200004106993</v>
          </cell>
          <cell r="B159" t="str">
            <v>Задаем oo</v>
          </cell>
        </row>
        <row r="160">
          <cell r="A160" t="str">
            <v>0x200004106994</v>
          </cell>
          <cell r="B160" t="str">
            <v>Задаем НЕТ</v>
          </cell>
        </row>
        <row r="161">
          <cell r="A161" t="str">
            <v>0x200004106998</v>
          </cell>
          <cell r="B161" t="str">
            <v>Обычно этой уставки нет в DIGSI. Задаем 0 мГц. Фильтр низких частот.</v>
          </cell>
        </row>
        <row r="162">
          <cell r="A162" t="str">
            <v>0x2000041164A3</v>
          </cell>
          <cell r="B162" t="str">
            <v>Под звездочку. Для учета в улавл. синхронизма чтобы в момент замыкания контактов выключателя напряжения двух частей совпадали бы по фазе. Этот параметр должен включать время включения выключателя, а также время пуска промежуточных реле, которые могут быть включены в цепь включения</v>
          </cell>
        </row>
        <row r="163">
          <cell r="A163" t="str">
            <v>0x2000041164A7</v>
          </cell>
          <cell r="B163" t="str">
            <v>Задаем 60 сек</v>
          </cell>
        </row>
        <row r="164">
          <cell r="A164" t="str">
            <v>0x2000041164B1</v>
          </cell>
          <cell r="B164" t="str">
            <v>Задаем минимум: 95% для версии 4.7, 92% для версии 4.8</v>
          </cell>
        </row>
        <row r="165">
          <cell r="A165" t="str">
            <v>0x2000041164B2</v>
          </cell>
          <cell r="B165" t="str">
            <v>Задаем максимум: 105% для версии 4.7, 108% для версии 4.8</v>
          </cell>
        </row>
        <row r="166">
          <cell r="A166" t="str">
            <v>0x200004116982</v>
          </cell>
          <cell r="B166" t="str">
            <v>Под звездочку</v>
          </cell>
        </row>
        <row r="167">
          <cell r="A167" t="str">
            <v>0x200004116983</v>
          </cell>
          <cell r="B167" t="str">
            <v>Под звездочку</v>
          </cell>
        </row>
        <row r="168">
          <cell r="A168" t="str">
            <v>0x200004116984</v>
          </cell>
          <cell r="B168" t="str">
            <v>Под звездочку. Вписать откуда подводится напряжение. Для групп синхронизации 6-8 задаем линейные напряжения (100В); для групп 1-5 задаем фазные (линейные/1.73=57.73)</v>
          </cell>
        </row>
        <row r="169">
          <cell r="A169" t="str">
            <v>0x200004116985</v>
          </cell>
          <cell r="B169" t="str">
            <v>Под звездочку. Вписать откуда подводится напряжение. Для групп синхронизации 6-8 задаем линейные напряжения (100В); для групп 1-5 задаем фазные (линейные/1.73=57.73)</v>
          </cell>
        </row>
        <row r="170">
          <cell r="A170" t="str">
            <v>0x200004116986</v>
          </cell>
          <cell r="B170" t="str">
            <v>СЭР; Для групп 6–8 задается в линейных величинах; "Вставить выше уставку "Синхронизируемый коммутационный аппарат", скопировать из конфига ВРУЧНУЮ!!!"</v>
          </cell>
        </row>
        <row r="171">
          <cell r="A171" t="str">
            <v>0x200004116987</v>
          </cell>
          <cell r="B171" t="str">
            <v>СЭР; Для групп 6–5 задается в линейных величинах.</v>
          </cell>
        </row>
        <row r="172">
          <cell r="A172" t="str">
            <v>0x200004116988</v>
          </cell>
          <cell r="B172" t="str">
            <v>50 В (мф); Для групп 1–5 задается в фазных величинах.</v>
          </cell>
        </row>
        <row r="173">
          <cell r="A173" t="str">
            <v>0x200004116989</v>
          </cell>
          <cell r="B173" t="str">
            <v>Контроль наличия U на шинах и отсутствия U на линии</v>
          </cell>
        </row>
        <row r="174">
          <cell r="A174" t="str">
            <v>0x20000411698A</v>
          </cell>
          <cell r="B174" t="str">
            <v>Контроль отсутствия U на шинах и наличия U на линии</v>
          </cell>
        </row>
        <row r="175">
          <cell r="A175" t="str">
            <v>0x20000411698B</v>
          </cell>
          <cell r="B175" t="str">
            <v>Контроль отсутствия U на шинах на линии</v>
          </cell>
        </row>
        <row r="176">
          <cell r="A176" t="str">
            <v>0x20000411698C</v>
          </cell>
          <cell r="B176" t="str">
            <v>СЭР</v>
          </cell>
        </row>
        <row r="177">
          <cell r="A177" t="str">
            <v>0x20000411698D</v>
          </cell>
          <cell r="B177" t="str">
            <v>СЭР</v>
          </cell>
        </row>
        <row r="178">
          <cell r="A178" t="str">
            <v>0x20000411698E</v>
          </cell>
          <cell r="B178" t="str">
            <v>СЭР</v>
          </cell>
        </row>
        <row r="179">
          <cell r="A179" t="str">
            <v>0x20000411698F</v>
          </cell>
          <cell r="B179" t="str">
            <v>СЭР, частота ниже которой работет ОС, выше которой работает УС</v>
          </cell>
        </row>
        <row r="180">
          <cell r="A180" t="str">
            <v>0x200004116990</v>
          </cell>
          <cell r="B180" t="str">
            <v>СЭР; Для групп 1–5 задается в фазных величинах.</v>
          </cell>
        </row>
        <row r="181">
          <cell r="A181" t="str">
            <v>0x200004116991</v>
          </cell>
          <cell r="B181" t="str">
            <v>Задаем 0.3 сек</v>
          </cell>
        </row>
        <row r="182">
          <cell r="A182" t="str">
            <v>0x200004116992</v>
          </cell>
          <cell r="B182" t="str">
            <v>Задаем oo</v>
          </cell>
        </row>
        <row r="183">
          <cell r="A183" t="str">
            <v>0x200004116993</v>
          </cell>
          <cell r="B183" t="str">
            <v>Задаем oo</v>
          </cell>
        </row>
        <row r="184">
          <cell r="A184" t="str">
            <v>0x200004116994</v>
          </cell>
          <cell r="B184" t="str">
            <v>Задаем НЕТ</v>
          </cell>
        </row>
        <row r="185">
          <cell r="A185" t="str">
            <v>0x2000041264A3</v>
          </cell>
          <cell r="B185" t="str">
            <v>Под звездочку. Для учета в улавл. синхронизма чтобы в момент замыкания контактов выключателя напряжения двух частей совпадали бы по фазе. Этот параметр должен включать время включения выключателя, а также время пуска промежуточных реле, которые могут быть включены в цепь включения</v>
          </cell>
        </row>
        <row r="186">
          <cell r="A186" t="str">
            <v>0x2000041264A7</v>
          </cell>
          <cell r="B186" t="str">
            <v>Задаем 60 сек</v>
          </cell>
        </row>
        <row r="187">
          <cell r="A187" t="str">
            <v>0x2000041264B1</v>
          </cell>
          <cell r="B187" t="str">
            <v>Задаем минимум: 95% для версии 4.7, 92% для версии 4.8</v>
          </cell>
        </row>
        <row r="188">
          <cell r="A188" t="str">
            <v>0x2000041264B2</v>
          </cell>
          <cell r="B188" t="str">
            <v>Задаем максимум: 105% для версии 4.7, 108% для версии 4.8</v>
          </cell>
        </row>
        <row r="189">
          <cell r="A189" t="str">
            <v>0x200004126982</v>
          </cell>
          <cell r="B189" t="str">
            <v>Под звездочку</v>
          </cell>
        </row>
        <row r="190">
          <cell r="A190" t="str">
            <v>0x200004126983</v>
          </cell>
          <cell r="B190" t="str">
            <v>Под звездочку</v>
          </cell>
        </row>
        <row r="191">
          <cell r="A191" t="str">
            <v>0x200004126984</v>
          </cell>
          <cell r="B191" t="str">
            <v>Под звездочку. Вписать откуда подводится напряжение. Для групп синхронизации 6-8 задаем линейные напряжения (100В); для групп 1-5 задаем фазные (линейные/1.73=57.73)</v>
          </cell>
        </row>
        <row r="192">
          <cell r="A192" t="str">
            <v>0x200004126985</v>
          </cell>
          <cell r="B192" t="str">
            <v>Под звездочку. Вписать откуда подводится напряжение. Для групп синхронизации 6-8 задаем линейные напряжения (100В); для групп 1-5 задаем фазные (линейные/1.73=57.73)</v>
          </cell>
        </row>
        <row r="193">
          <cell r="A193" t="str">
            <v>0x200004126986</v>
          </cell>
          <cell r="B193" t="str">
            <v>СЭР; Для групп 6–8 задается в линейных величинах; "Вставить выше уставку "Синхронизируемый коммутационный аппарат", скопировать из конфига ВРУЧНУЮ!!!"</v>
          </cell>
        </row>
        <row r="194">
          <cell r="A194" t="str">
            <v>0x200004126987</v>
          </cell>
          <cell r="B194" t="str">
            <v>СЭР; Для групп 6–5 задается в линейных величинах.</v>
          </cell>
        </row>
        <row r="195">
          <cell r="A195" t="str">
            <v>0x200004126988</v>
          </cell>
          <cell r="B195" t="str">
            <v>50 В (мф); Для групп 1–5 задается в фазных величинах.</v>
          </cell>
        </row>
        <row r="196">
          <cell r="A196" t="str">
            <v>0x200004126989</v>
          </cell>
          <cell r="B196" t="str">
            <v>Контроль наличия U на шинах и отсутствия U на линии</v>
          </cell>
        </row>
        <row r="197">
          <cell r="A197" t="str">
            <v>0x20000412698A</v>
          </cell>
          <cell r="B197" t="str">
            <v>Контроль отсутствия U на шинах и наличия U на линии</v>
          </cell>
        </row>
        <row r="198">
          <cell r="A198" t="str">
            <v>0x20000412698B</v>
          </cell>
          <cell r="B198" t="str">
            <v>Контроль отсутствия U на шинах на линии</v>
          </cell>
        </row>
        <row r="199">
          <cell r="A199" t="str">
            <v>0x20000412698C</v>
          </cell>
          <cell r="B199" t="str">
            <v>СЭР</v>
          </cell>
        </row>
        <row r="200">
          <cell r="A200" t="str">
            <v>0x20000412698D</v>
          </cell>
          <cell r="B200" t="str">
            <v>СЭР</v>
          </cell>
        </row>
        <row r="201">
          <cell r="A201" t="str">
            <v>0x20000412698E</v>
          </cell>
          <cell r="B201" t="str">
            <v>СЭР</v>
          </cell>
        </row>
        <row r="202">
          <cell r="A202" t="str">
            <v>0x20000412698F</v>
          </cell>
          <cell r="B202" t="str">
            <v>СЭР, частота ниже которой работет ОС, выше которой работает УС</v>
          </cell>
        </row>
        <row r="203">
          <cell r="A203" t="str">
            <v>0x200004126990</v>
          </cell>
          <cell r="B203" t="str">
            <v>СЭР; Для групп 1–5 задается в фазных величинах.</v>
          </cell>
        </row>
        <row r="204">
          <cell r="A204" t="str">
            <v>0x200004126991</v>
          </cell>
          <cell r="B204" t="str">
            <v>Задаем 0.3 сек</v>
          </cell>
        </row>
        <row r="205">
          <cell r="A205" t="str">
            <v>0x200004126992</v>
          </cell>
          <cell r="B205" t="str">
            <v>Задаем oo</v>
          </cell>
        </row>
        <row r="206">
          <cell r="A206" t="str">
            <v>0x200004126993</v>
          </cell>
          <cell r="B206" t="str">
            <v>Задаем oo</v>
          </cell>
        </row>
        <row r="207">
          <cell r="A207" t="str">
            <v>0x200004126994</v>
          </cell>
          <cell r="B207" t="str">
            <v>Задаем НЕТ</v>
          </cell>
        </row>
        <row r="208">
          <cell r="A208" t="str">
            <v>1130A</v>
          </cell>
          <cell r="B208" t="str">
            <v>Должна быть меньше или равна току УРОВ (3902), см. \СРЗА\Уставки\Расчёт уставок текущий\2020-04-06 Анализ УРОВ Siemens 6MD\</v>
          </cell>
        </row>
        <row r="209">
          <cell r="A209" t="str">
            <v>1150A</v>
          </cell>
          <cell r="B209" t="str">
            <v>Под звездочку</v>
          </cell>
        </row>
        <row r="210">
          <cell r="A210" t="str">
            <v>2917</v>
          </cell>
          <cell r="B210" t="str">
            <v>Всегда фазное значение. Равно 0,5 номинального фазного напряжения (0.5*(линейные/1,73))</v>
          </cell>
        </row>
        <row r="211">
          <cell r="A211" t="str">
            <v>3403</v>
          </cell>
          <cell r="B211" t="str">
            <v>Под звездочку. Определяет время, которое должно пройти после успешной попытки АПВ перед возвратом функции АПВ в исходное состояние</v>
          </cell>
        </row>
        <row r="212">
          <cell r="A212" t="str">
            <v>3404</v>
          </cell>
          <cell r="B212" t="str">
            <v>Под звездочку. Определяет как долго функция АПВ будет заблокирована
динамически в случае обнаружения внешней команды ручного включения</v>
          </cell>
        </row>
        <row r="213">
          <cell r="A213" t="str">
            <v>3408</v>
          </cell>
          <cell r="B213" t="str">
            <v>Задаем 0.4 сек, см. 'Siemens 3408 ТпускаКонтроль.docx'</v>
          </cell>
        </row>
        <row r="214">
          <cell r="A214" t="str">
            <v>3411A</v>
          </cell>
          <cell r="B214" t="str">
            <v>Уставки 3413 и 3414 скопировать из конфига ВРУЧНУЮ!!! Обычно это время д.б. больше уставок "Макс. время процеса синхронизации". Она запускается, когда
заканчивается заданное время бестоковой паузы. Если контроль синхронизма выполняется до окончания этого времени, то набор времени контроля останавливается и формируется команда включения. Если время заканчивается до выполнения условий контроля синхронизма, АПВ блокируется динамически на время 7108</v>
          </cell>
        </row>
        <row r="215">
          <cell r="A215" t="str">
            <v>3413</v>
          </cell>
          <cell r="B215" t="str">
            <v>Под звездочку. Этот адрес нужно вставлять вручную, из конфига не экспортируется!</v>
          </cell>
        </row>
        <row r="216">
          <cell r="A216" t="str">
            <v>3414</v>
          </cell>
          <cell r="B216" t="str">
            <v>Под звездочку, обычно используем 7 группу для АПВ. Этот адрес нужно вставлять вручную, из конфига не экспортируется!</v>
          </cell>
        </row>
        <row r="217">
          <cell r="A217" t="str">
            <v>3430</v>
          </cell>
          <cell r="B217" t="str">
            <v>НЕТ, у нас нет ОАПВ, см. Вынужденное 3-фазное отключение в мануале</v>
          </cell>
        </row>
        <row r="218">
          <cell r="A218" t="str">
            <v>3431</v>
          </cell>
          <cell r="B218" t="str">
            <v>без, см Контроль отключенного состояния линии в мануале</v>
          </cell>
        </row>
        <row r="219">
          <cell r="A219" t="str">
            <v>3438</v>
          </cell>
          <cell r="B219" t="str">
            <v>0.10 сек, не используется</v>
          </cell>
        </row>
        <row r="220">
          <cell r="A220" t="str">
            <v>3440</v>
          </cell>
          <cell r="B220" t="str">
            <v>48 В, не используется</v>
          </cell>
        </row>
        <row r="221">
          <cell r="A221" t="str">
            <v>3441</v>
          </cell>
          <cell r="B221" t="str">
            <v>30 В, не используется</v>
          </cell>
        </row>
        <row r="222">
          <cell r="A222" t="str">
            <v>3458</v>
          </cell>
          <cell r="B222" t="str">
            <v>Под звездочку</v>
          </cell>
        </row>
        <row r="223">
          <cell r="A223" t="str">
            <v>3459</v>
          </cell>
          <cell r="B223" t="str">
            <v>Под звездочку</v>
          </cell>
        </row>
        <row r="224">
          <cell r="A224" t="str">
            <v>3904</v>
          </cell>
          <cell r="B224" t="str">
            <v>Даже если пофазный УРОВ не используется, выдержка времени 3904 должна быть одинаковой с выдержкой времени 3905</v>
          </cell>
        </row>
        <row r="225">
          <cell r="A225" t="str">
            <v>3905</v>
          </cell>
          <cell r="B225" t="str">
            <v>Время повторного действия на себя трехфазного УРОВа</v>
          </cell>
        </row>
        <row r="226">
          <cell r="A226" t="str">
            <v>3906</v>
          </cell>
          <cell r="B226" t="str">
            <v>Время резервного действия на соседние выключатели</v>
          </cell>
        </row>
        <row r="227">
          <cell r="A227" t="str">
            <v>3907</v>
          </cell>
          <cell r="B227" t="str">
            <v>Время действия на соседние выключатели при заведомо неисправном выключателе</v>
          </cell>
        </row>
        <row r="228">
          <cell r="A228" t="str">
            <v>3908</v>
          </cell>
          <cell r="B228" t="str">
            <v>Мы задаем "УРОВ Откл (Т1 и Т2)", для УРОВ на себя и при индивидуальном УРОВ.</v>
          </cell>
        </row>
        <row r="229">
          <cell r="A229" t="str">
            <v>3909</v>
          </cell>
          <cell r="B229" t="str">
            <v>НЕТ - контроль только тока: ДА - контроль только РПО. Контролировать оба параметра невозможно. Выбираем способ контроля в каждом конкретном случае.</v>
          </cell>
        </row>
        <row r="230">
          <cell r="A230" t="str">
            <v>3921</v>
          </cell>
          <cell r="B230" t="str">
            <v>Под звездочку, УРОВ при КЗ в "мертвой зоне", обычно мы задаем, но у МЭСа подход не использовать.</v>
          </cell>
        </row>
        <row r="231">
          <cell r="A231" t="str">
            <v>3931</v>
          </cell>
          <cell r="B231" t="str">
            <v>Отстраивается от времени включения выключателя с коэффициентом 1,5.</v>
          </cell>
        </row>
        <row r="232">
          <cell r="A232" t="str">
            <v>3940</v>
          </cell>
          <cell r="B232" t="str">
            <v>Под звездочку</v>
          </cell>
        </row>
        <row r="233">
          <cell r="A233"/>
          <cell r="B233"/>
        </row>
        <row r="234">
          <cell r="A234"/>
          <cell r="B234"/>
        </row>
        <row r="235">
          <cell r="A235"/>
          <cell r="B235"/>
        </row>
        <row r="236">
          <cell r="A236"/>
          <cell r="B236"/>
        </row>
        <row r="237">
          <cell r="A237"/>
          <cell r="B237"/>
        </row>
      </sheetData>
      <sheetData sheetId="1"/>
      <sheetData sheetId="2"/>
      <sheetData sheetId="3"/>
      <sheetData sheetId="4"/>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1044;&#1077;&#1083;&#1072;%20&#1057;&#1056;&#1047;&#1040;/19%20&#1055;&#1077;&#1088;&#1077;&#1087;&#1080;&#1089;&#1082;&#1072;/19.7%20&#1055;&#1086;%20&#1088;&#1072;&#1089;&#1095;&#1077;&#1090;&#1091;%20&#1091;&#1089;&#1090;&#1072;&#1074;&#1086;&#1082;/19.7-1%20&#1055;&#1077;&#1088;&#1077;&#1087;&#1080;&#1089;&#1082;&#1072;%20&#1087;&#1086;%20&#1080;&#1089;&#1087;&#1086;&#1083;&#1085;&#1077;&#1085;&#1080;&#1102;%20&#1091;&#1089;&#1090;&#1072;&#1074;&#1086;&#1082;/2022/&#1074;&#1093;&#1086;&#1076;&#1103;&#1097;&#1080;&#1077;/2022-08-02%20&#1086;&#1090;%20&#1055;&#1055;&#1052;&#1069;&#1057;%20&#1086;&#1073;%20&#1080;&#1089;&#1087;%20&#1091;&#1089;&#1090;&#1072;&#1074;&#1086;&#1082;%20(5306944_&#1074;&#1093;-2163_02_08_2022).pdf" TargetMode="External"/><Relationship Id="rId1" Type="http://schemas.openxmlformats.org/officeDocument/2006/relationships/hyperlink" Target="../../../../&#1044;&#1077;&#1083;&#1072;%20&#1057;&#1056;&#1047;&#1040;/19%20&#1055;&#1077;&#1088;&#1077;&#1087;&#1080;&#1089;&#1082;&#1072;/19.7%20&#1055;&#1086;%20&#1088;&#1072;&#1089;&#1095;&#1077;&#1090;&#1091;%20&#1091;&#1089;&#1090;&#1072;&#1074;&#1086;&#1082;/2022/2022-08-01%20&#1057;&#1072;&#1084;&#1086;&#1087;&#1088;&#1086;&#1074;&#1077;&#1088;&#1082;&#1072;/2022-08-01%20%20&#1054;&#1073;%20&#1091;&#1089;&#1090;&#1072;&#1074;&#1082;&#1072;&#1093;%20&#1056;&#1047;&#1040;(5305960_&#1056;45-&#1073;1-V-19-1132_01_08_2022).doc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view="pageBreakPreview" zoomScaleNormal="80" zoomScaleSheetLayoutView="100" workbookViewId="0">
      <selection activeCell="A7" sqref="A7:E7"/>
    </sheetView>
  </sheetViews>
  <sheetFormatPr defaultColWidth="9.140625" defaultRowHeight="15" x14ac:dyDescent="0.25"/>
  <cols>
    <col min="1" max="1" width="4.7109375" style="5" customWidth="1"/>
    <col min="2" max="2" width="4.85546875" style="5" customWidth="1"/>
    <col min="3" max="3" width="37.140625" style="5" customWidth="1"/>
    <col min="4" max="4" width="40.42578125" style="5" customWidth="1"/>
    <col min="5" max="5" width="4.7109375" style="5" customWidth="1"/>
    <col min="6" max="16384" width="9.140625" style="4"/>
  </cols>
  <sheetData>
    <row r="1" spans="1:12" ht="15.75" x14ac:dyDescent="0.25">
      <c r="A1" s="39" t="s">
        <v>439</v>
      </c>
      <c r="B1" s="39"/>
      <c r="C1" s="40"/>
      <c r="D1" s="14" t="s">
        <v>440</v>
      </c>
    </row>
    <row r="2" spans="1:12" x14ac:dyDescent="0.25">
      <c r="A2" s="39" t="s">
        <v>439</v>
      </c>
      <c r="B2" s="39"/>
      <c r="C2" s="40"/>
      <c r="D2" s="19" t="s">
        <v>540</v>
      </c>
    </row>
    <row r="3" spans="1:12" x14ac:dyDescent="0.25">
      <c r="A3" s="39" t="s">
        <v>439</v>
      </c>
      <c r="B3" s="39"/>
      <c r="C3" s="40"/>
      <c r="D3" s="41"/>
    </row>
    <row r="4" spans="1:12" x14ac:dyDescent="0.25">
      <c r="A4" s="39" t="s">
        <v>439</v>
      </c>
      <c r="B4" s="39"/>
      <c r="C4" s="40"/>
      <c r="D4" s="19" t="s">
        <v>531</v>
      </c>
    </row>
    <row r="5" spans="1:12" x14ac:dyDescent="0.25">
      <c r="A5" s="18"/>
      <c r="B5" s="18"/>
      <c r="C5" s="12"/>
    </row>
    <row r="6" spans="1:12" ht="28.15" customHeight="1" x14ac:dyDescent="0.25">
      <c r="A6" s="64" t="s">
        <v>536</v>
      </c>
      <c r="B6" s="64"/>
      <c r="C6" s="64"/>
      <c r="D6" s="64"/>
      <c r="E6" s="64"/>
      <c r="K6" s="12"/>
      <c r="L6" s="14"/>
    </row>
    <row r="7" spans="1:12" ht="34.5" customHeight="1" x14ac:dyDescent="0.25">
      <c r="A7" s="65" t="s">
        <v>479</v>
      </c>
      <c r="B7" s="65"/>
      <c r="C7" s="65"/>
      <c r="D7" s="65"/>
      <c r="E7" s="65"/>
      <c r="K7" s="17"/>
      <c r="L7" s="14"/>
    </row>
    <row r="8" spans="1:12" ht="20.25" customHeight="1" x14ac:dyDescent="0.25">
      <c r="A8" s="16"/>
      <c r="B8" s="66" t="s">
        <v>438</v>
      </c>
      <c r="C8" s="66"/>
      <c r="D8" s="66"/>
      <c r="E8" s="16"/>
      <c r="K8" s="12"/>
      <c r="L8" s="15"/>
    </row>
    <row r="9" spans="1:12" ht="15.75" x14ac:dyDescent="0.25">
      <c r="A9" s="6"/>
      <c r="B9" s="51">
        <v>1</v>
      </c>
      <c r="C9" s="8" t="s">
        <v>437</v>
      </c>
      <c r="D9" s="8" t="s">
        <v>532</v>
      </c>
      <c r="E9" s="6"/>
      <c r="K9" s="12"/>
      <c r="L9" s="14"/>
    </row>
    <row r="10" spans="1:12" ht="65.25" customHeight="1" x14ac:dyDescent="0.25">
      <c r="A10" s="6"/>
      <c r="B10" s="51">
        <v>2</v>
      </c>
      <c r="C10" s="8" t="s">
        <v>436</v>
      </c>
      <c r="D10" s="13" t="s">
        <v>435</v>
      </c>
      <c r="E10" s="6"/>
      <c r="K10" s="12"/>
      <c r="L10" s="11"/>
    </row>
    <row r="11" spans="1:12" ht="47.25" customHeight="1" x14ac:dyDescent="0.25">
      <c r="A11" s="6"/>
      <c r="B11" s="51">
        <v>3</v>
      </c>
      <c r="C11" s="8" t="s">
        <v>434</v>
      </c>
      <c r="D11" s="8" t="s">
        <v>535</v>
      </c>
      <c r="E11" s="6"/>
    </row>
    <row r="12" spans="1:12" ht="30.75" customHeight="1" x14ac:dyDescent="0.25">
      <c r="A12" s="6"/>
      <c r="B12" s="51">
        <v>4</v>
      </c>
      <c r="C12" s="8" t="s">
        <v>433</v>
      </c>
      <c r="D12" s="8" t="s">
        <v>533</v>
      </c>
      <c r="E12" s="6"/>
    </row>
    <row r="13" spans="1:12" ht="31.5" x14ac:dyDescent="0.25">
      <c r="A13" s="6"/>
      <c r="B13" s="52">
        <v>5</v>
      </c>
      <c r="C13" s="8" t="s">
        <v>432</v>
      </c>
      <c r="D13" s="8" t="s">
        <v>537</v>
      </c>
      <c r="E13" s="6"/>
    </row>
    <row r="14" spans="1:12" ht="15.75" x14ac:dyDescent="0.25">
      <c r="A14" s="6"/>
      <c r="B14" s="51">
        <v>6</v>
      </c>
      <c r="C14" s="8" t="s">
        <v>431</v>
      </c>
      <c r="D14" s="48" t="s">
        <v>534</v>
      </c>
      <c r="E14" s="6"/>
    </row>
    <row r="15" spans="1:12" ht="31.5" x14ac:dyDescent="0.25">
      <c r="A15" s="6"/>
      <c r="B15" s="51">
        <v>7</v>
      </c>
      <c r="C15" s="10" t="s">
        <v>430</v>
      </c>
      <c r="D15" s="9" t="s">
        <v>423</v>
      </c>
      <c r="E15" s="6"/>
    </row>
    <row r="16" spans="1:12" ht="36" customHeight="1" x14ac:dyDescent="0.25">
      <c r="A16" s="6"/>
      <c r="B16" s="51">
        <v>8</v>
      </c>
      <c r="C16" s="8" t="s">
        <v>429</v>
      </c>
      <c r="D16" s="8" t="s">
        <v>538</v>
      </c>
      <c r="E16" s="6"/>
    </row>
    <row r="17" spans="1:5" ht="80.25" customHeight="1" x14ac:dyDescent="0.25">
      <c r="A17" s="6"/>
      <c r="B17" s="51">
        <v>9</v>
      </c>
      <c r="C17" s="8" t="s">
        <v>428</v>
      </c>
      <c r="D17" s="8" t="s">
        <v>427</v>
      </c>
      <c r="E17" s="6"/>
    </row>
    <row r="18" spans="1:5" ht="81" customHeight="1" x14ac:dyDescent="0.25">
      <c r="A18" s="6"/>
      <c r="B18" s="51">
        <v>10</v>
      </c>
      <c r="C18" s="8" t="s">
        <v>426</v>
      </c>
      <c r="D18" s="8" t="s">
        <v>425</v>
      </c>
      <c r="E18" s="6"/>
    </row>
    <row r="19" spans="1:5" ht="66" customHeight="1" x14ac:dyDescent="0.25">
      <c r="A19" s="6"/>
      <c r="B19" s="51">
        <v>11</v>
      </c>
      <c r="C19" s="8" t="s">
        <v>424</v>
      </c>
      <c r="D19" s="7" t="s">
        <v>423</v>
      </c>
      <c r="E19" s="6"/>
    </row>
    <row r="20" spans="1:5" ht="75" customHeight="1" x14ac:dyDescent="0.25">
      <c r="A20" s="6"/>
      <c r="B20" s="53">
        <v>12</v>
      </c>
      <c r="C20" s="8" t="s">
        <v>486</v>
      </c>
      <c r="D20" s="8" t="s">
        <v>487</v>
      </c>
      <c r="E20" s="6"/>
    </row>
  </sheetData>
  <mergeCells count="3">
    <mergeCell ref="A6:E6"/>
    <mergeCell ref="A7:E7"/>
    <mergeCell ref="B8:D8"/>
  </mergeCells>
  <pageMargins left="0.70866141732283472" right="0.70866141732283472" top="0.15748031496062992" bottom="0.15748031496062992" header="0.31496062992125984" footer="0.31496062992125984"/>
  <pageSetup paperSize="9" scale="94"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268"/>
  <sheetViews>
    <sheetView tabSelected="1" view="pageBreakPreview" topLeftCell="A98" zoomScale="90" zoomScaleNormal="90" zoomScaleSheetLayoutView="90" workbookViewId="0">
      <selection activeCell="B116" sqref="B116"/>
    </sheetView>
  </sheetViews>
  <sheetFormatPr defaultRowHeight="15" x14ac:dyDescent="0.25"/>
  <cols>
    <col min="1" max="1" width="6.7109375" style="1" customWidth="1"/>
    <col min="2" max="2" width="23.7109375" style="2" customWidth="1"/>
    <col min="3" max="3" width="30.7109375" style="2" customWidth="1"/>
    <col min="4" max="7" width="9" style="3" customWidth="1"/>
    <col min="8" max="8" width="42.28515625" style="2" customWidth="1"/>
  </cols>
  <sheetData>
    <row r="1" spans="1:9" ht="15.75" x14ac:dyDescent="0.25">
      <c r="A1" s="20" t="s">
        <v>439</v>
      </c>
      <c r="B1" s="21"/>
      <c r="C1" s="22"/>
      <c r="D1" s="23"/>
      <c r="E1" s="21"/>
      <c r="F1" s="21"/>
      <c r="G1" s="21"/>
      <c r="H1" s="54" t="s">
        <v>441</v>
      </c>
    </row>
    <row r="2" spans="1:9" ht="15.75" x14ac:dyDescent="0.25">
      <c r="A2" s="20" t="s">
        <v>439</v>
      </c>
      <c r="B2" s="21"/>
      <c r="C2" s="22"/>
      <c r="D2" s="23"/>
      <c r="E2" s="21"/>
      <c r="F2" s="21"/>
      <c r="G2" s="24"/>
      <c r="H2" s="19" t="s">
        <v>540</v>
      </c>
    </row>
    <row r="3" spans="1:9" x14ac:dyDescent="0.25">
      <c r="A3" s="20" t="s">
        <v>439</v>
      </c>
      <c r="B3" s="21"/>
      <c r="C3" s="21"/>
      <c r="D3" s="21"/>
      <c r="E3" s="21"/>
      <c r="F3" s="25"/>
      <c r="G3" s="23"/>
      <c r="H3" s="55"/>
    </row>
    <row r="4" spans="1:9" ht="15.75" x14ac:dyDescent="0.25">
      <c r="A4" s="26" t="s">
        <v>439</v>
      </c>
      <c r="B4" s="27"/>
      <c r="C4" s="27"/>
      <c r="D4" s="27"/>
      <c r="E4" s="27"/>
      <c r="F4" s="28"/>
      <c r="G4" s="29"/>
      <c r="H4" s="54" t="s">
        <v>539</v>
      </c>
    </row>
    <row r="5" spans="1:9" ht="18.75" customHeight="1" x14ac:dyDescent="0.3">
      <c r="A5" s="71" t="s">
        <v>541</v>
      </c>
      <c r="B5" s="71"/>
      <c r="C5" s="71"/>
      <c r="D5" s="71"/>
      <c r="E5" s="71"/>
      <c r="F5" s="71"/>
      <c r="G5" s="71"/>
      <c r="H5" s="71"/>
    </row>
    <row r="6" spans="1:9" ht="18.75" customHeight="1" x14ac:dyDescent="0.25">
      <c r="A6" s="72" t="s">
        <v>480</v>
      </c>
      <c r="B6" s="72"/>
      <c r="C6" s="72"/>
      <c r="D6" s="72"/>
      <c r="E6" s="72"/>
      <c r="F6" s="72"/>
      <c r="G6" s="72"/>
      <c r="H6" s="72"/>
    </row>
    <row r="7" spans="1:9" ht="18.75" customHeight="1" x14ac:dyDescent="0.25">
      <c r="A7" s="73" t="s">
        <v>442</v>
      </c>
      <c r="B7" s="73"/>
      <c r="C7" s="73"/>
      <c r="D7" s="73"/>
      <c r="E7" s="73"/>
      <c r="F7" s="73"/>
      <c r="G7" s="73"/>
      <c r="H7" s="73"/>
    </row>
    <row r="8" spans="1:9" ht="18.75" customHeight="1" x14ac:dyDescent="0.25">
      <c r="A8" s="74" t="s">
        <v>443</v>
      </c>
      <c r="B8" s="74"/>
      <c r="C8" s="74"/>
      <c r="D8" s="74"/>
      <c r="E8" s="74"/>
      <c r="F8" s="74"/>
      <c r="G8" s="74"/>
      <c r="H8" s="74"/>
    </row>
    <row r="9" spans="1:9" ht="17.25" x14ac:dyDescent="0.25">
      <c r="A9" s="76" t="s">
        <v>0</v>
      </c>
      <c r="B9" s="76"/>
      <c r="C9" s="76"/>
      <c r="D9" s="76"/>
      <c r="E9" s="76"/>
      <c r="F9" s="76"/>
      <c r="G9" s="76"/>
      <c r="H9" s="76"/>
    </row>
    <row r="10" spans="1:9" x14ac:dyDescent="0.25">
      <c r="A10" s="70" t="s">
        <v>70</v>
      </c>
      <c r="B10" s="70" t="s">
        <v>71</v>
      </c>
      <c r="C10" s="70" t="s">
        <v>72</v>
      </c>
      <c r="D10" s="70" t="s">
        <v>73</v>
      </c>
      <c r="E10" s="70"/>
      <c r="F10" s="70"/>
      <c r="G10" s="70"/>
      <c r="H10" s="70" t="s">
        <v>74</v>
      </c>
    </row>
    <row r="11" spans="1:9" x14ac:dyDescent="0.25">
      <c r="A11" s="70"/>
      <c r="B11" s="70"/>
      <c r="C11" s="70"/>
      <c r="D11" s="70"/>
      <c r="E11" s="70"/>
      <c r="F11" s="70"/>
      <c r="G11" s="70"/>
      <c r="H11" s="70"/>
    </row>
    <row r="12" spans="1:9" ht="30" x14ac:dyDescent="0.25">
      <c r="A12" s="30" t="s">
        <v>1</v>
      </c>
      <c r="B12" s="31" t="s">
        <v>2</v>
      </c>
      <c r="C12" s="31" t="s">
        <v>3</v>
      </c>
      <c r="D12" s="68" t="s">
        <v>4</v>
      </c>
      <c r="E12" s="68"/>
      <c r="F12" s="68"/>
      <c r="G12" s="68"/>
      <c r="H12" s="31" t="s">
        <v>5</v>
      </c>
      <c r="I12" t="str">
        <f>IFERROR(IF(TRIM(A12)&lt;&gt;"",INDEX('[1]6MD'!$A:$B,MATCH(A12,'[1]6MD'!$A:$A,0),2),""),"")</f>
        <v/>
      </c>
    </row>
    <row r="13" spans="1:9" ht="30" x14ac:dyDescent="0.25">
      <c r="A13" s="32" t="s">
        <v>6</v>
      </c>
      <c r="B13" s="31" t="s">
        <v>7</v>
      </c>
      <c r="C13" s="31" t="s">
        <v>3</v>
      </c>
      <c r="D13" s="68" t="s">
        <v>452</v>
      </c>
      <c r="E13" s="68"/>
      <c r="F13" s="68"/>
      <c r="G13" s="68"/>
      <c r="H13" s="31" t="s">
        <v>9</v>
      </c>
      <c r="I13" t="str">
        <f>IFERROR(IF(TRIM(A13)&lt;&gt;"",INDEX('[1]6MD'!$A:$B,MATCH(A13,'[1]6MD'!$A:$A,0),2),""),"")</f>
        <v>Под звездочку</v>
      </c>
    </row>
    <row r="14" spans="1:9" ht="30" x14ac:dyDescent="0.25">
      <c r="A14" s="32" t="s">
        <v>10</v>
      </c>
      <c r="B14" s="31" t="s">
        <v>11</v>
      </c>
      <c r="C14" s="31" t="s">
        <v>3</v>
      </c>
      <c r="D14" s="68" t="s">
        <v>453</v>
      </c>
      <c r="E14" s="68"/>
      <c r="F14" s="68"/>
      <c r="G14" s="68"/>
      <c r="H14" s="31" t="s">
        <v>12</v>
      </c>
      <c r="I14" t="str">
        <f>IFERROR(IF(TRIM(A14)&lt;&gt;"",INDEX('[1]6MD'!$A:$B,MATCH(A14,'[1]6MD'!$A:$A,0),2),""),"")</f>
        <v>Под звездочку</v>
      </c>
    </row>
    <row r="15" spans="1:9" ht="30" x14ac:dyDescent="0.25">
      <c r="A15" s="32" t="s">
        <v>13</v>
      </c>
      <c r="B15" s="31" t="s">
        <v>14</v>
      </c>
      <c r="C15" s="31" t="s">
        <v>3</v>
      </c>
      <c r="D15" s="68" t="s">
        <v>452</v>
      </c>
      <c r="E15" s="68"/>
      <c r="F15" s="68"/>
      <c r="G15" s="68"/>
      <c r="H15" s="31" t="s">
        <v>15</v>
      </c>
      <c r="I15" t="str">
        <f>IFERROR(IF(TRIM(A15)&lt;&gt;"",INDEX('[1]6MD'!$A:$B,MATCH(A15,'[1]6MD'!$A:$A,0),2),""),"")</f>
        <v>Под звездочку</v>
      </c>
    </row>
    <row r="16" spans="1:9" ht="30" x14ac:dyDescent="0.25">
      <c r="A16" s="32" t="s">
        <v>16</v>
      </c>
      <c r="B16" s="31" t="s">
        <v>17</v>
      </c>
      <c r="C16" s="31" t="s">
        <v>3</v>
      </c>
      <c r="D16" s="68" t="s">
        <v>453</v>
      </c>
      <c r="E16" s="68"/>
      <c r="F16" s="68"/>
      <c r="G16" s="68"/>
      <c r="H16" s="31" t="s">
        <v>18</v>
      </c>
      <c r="I16" t="str">
        <f>IFERROR(IF(TRIM(A16)&lt;&gt;"",INDEX('[1]6MD'!$A:$B,MATCH(A16,'[1]6MD'!$A:$A,0),2),""),"")</f>
        <v>Под звездочку</v>
      </c>
    </row>
    <row r="17" spans="1:9" ht="30" x14ac:dyDescent="0.25">
      <c r="A17" s="32" t="s">
        <v>19</v>
      </c>
      <c r="B17" s="31" t="s">
        <v>20</v>
      </c>
      <c r="C17" s="31" t="s">
        <v>3</v>
      </c>
      <c r="D17" s="68" t="s">
        <v>453</v>
      </c>
      <c r="E17" s="68"/>
      <c r="F17" s="68"/>
      <c r="G17" s="68"/>
      <c r="H17" s="31" t="s">
        <v>21</v>
      </c>
      <c r="I17" t="str">
        <f>IFERROR(IF(TRIM(A17)&lt;&gt;"",INDEX('[1]6MD'!$A:$B,MATCH(A17,'[1]6MD'!$A:$A,0),2),""),"")</f>
        <v>Под звездочку</v>
      </c>
    </row>
    <row r="18" spans="1:9" ht="30" x14ac:dyDescent="0.25">
      <c r="A18" s="32" t="s">
        <v>22</v>
      </c>
      <c r="B18" s="31" t="s">
        <v>23</v>
      </c>
      <c r="C18" s="31" t="s">
        <v>3</v>
      </c>
      <c r="D18" s="68" t="s">
        <v>452</v>
      </c>
      <c r="E18" s="68"/>
      <c r="F18" s="68"/>
      <c r="G18" s="68"/>
      <c r="H18" s="31" t="s">
        <v>24</v>
      </c>
      <c r="I18" t="str">
        <f>IFERROR(IF(TRIM(A18)&lt;&gt;"",INDEX('[1]6MD'!$A:$B,MATCH(A18,'[1]6MD'!$A:$A,0),2),""),"")</f>
        <v>Под звездочку</v>
      </c>
    </row>
    <row r="19" spans="1:9" ht="30" x14ac:dyDescent="0.25">
      <c r="A19" s="32" t="s">
        <v>25</v>
      </c>
      <c r="B19" s="31" t="s">
        <v>26</v>
      </c>
      <c r="C19" s="31" t="s">
        <v>3</v>
      </c>
      <c r="D19" s="68" t="s">
        <v>453</v>
      </c>
      <c r="E19" s="68"/>
      <c r="F19" s="68"/>
      <c r="G19" s="68"/>
      <c r="H19" s="31" t="s">
        <v>27</v>
      </c>
      <c r="I19" t="str">
        <f>IFERROR(IF(TRIM(A19)&lt;&gt;"",INDEX('[1]6MD'!$A:$B,MATCH(A19,'[1]6MD'!$A:$A,0),2),""),"")</f>
        <v>Под звездочку</v>
      </c>
    </row>
    <row r="20" spans="1:9" ht="30" x14ac:dyDescent="0.25">
      <c r="A20" s="32" t="s">
        <v>28</v>
      </c>
      <c r="B20" s="31" t="s">
        <v>29</v>
      </c>
      <c r="C20" s="31" t="s">
        <v>3</v>
      </c>
      <c r="D20" s="68" t="s">
        <v>453</v>
      </c>
      <c r="E20" s="68"/>
      <c r="F20" s="68"/>
      <c r="G20" s="68"/>
      <c r="H20" s="31" t="s">
        <v>30</v>
      </c>
      <c r="I20" t="str">
        <f>IFERROR(IF(TRIM(A20)&lt;&gt;"",INDEX('[1]6MD'!$A:$B,MATCH(A20,'[1]6MD'!$A:$A,0),2),""),"")</f>
        <v>Под звездочку. Синхронизация фазных напряжений</v>
      </c>
    </row>
    <row r="21" spans="1:9" ht="30" x14ac:dyDescent="0.25">
      <c r="A21" s="32" t="s">
        <v>31</v>
      </c>
      <c r="B21" s="31" t="s">
        <v>32</v>
      </c>
      <c r="C21" s="31" t="s">
        <v>3</v>
      </c>
      <c r="D21" s="68" t="s">
        <v>453</v>
      </c>
      <c r="E21" s="68"/>
      <c r="F21" s="68"/>
      <c r="G21" s="68"/>
      <c r="H21" s="31" t="s">
        <v>33</v>
      </c>
      <c r="I21" t="str">
        <f>IFERROR(IF(TRIM(A21)&lt;&gt;"",INDEX('[1]6MD'!$A:$B,MATCH(A21,'[1]6MD'!$A:$A,0),2),""),"")</f>
        <v>Под звездочку. Синхронизация фазных напряжений</v>
      </c>
    </row>
    <row r="22" spans="1:9" ht="30" x14ac:dyDescent="0.25">
      <c r="A22" s="32" t="s">
        <v>34</v>
      </c>
      <c r="B22" s="31" t="s">
        <v>35</v>
      </c>
      <c r="C22" s="31" t="s">
        <v>3</v>
      </c>
      <c r="D22" s="68" t="s">
        <v>453</v>
      </c>
      <c r="E22" s="68"/>
      <c r="F22" s="68"/>
      <c r="G22" s="68"/>
      <c r="H22" s="31" t="s">
        <v>36</v>
      </c>
      <c r="I22" t="str">
        <f>IFERROR(IF(TRIM(A22)&lt;&gt;"",INDEX('[1]6MD'!$A:$B,MATCH(A22,'[1]6MD'!$A:$A,0),2),""),"")</f>
        <v>Под звездочку. Синхронизация фазных напряжений</v>
      </c>
    </row>
    <row r="23" spans="1:9" ht="30" x14ac:dyDescent="0.25">
      <c r="A23" s="32" t="s">
        <v>37</v>
      </c>
      <c r="B23" s="31" t="s">
        <v>38</v>
      </c>
      <c r="C23" s="31" t="s">
        <v>3</v>
      </c>
      <c r="D23" s="68" t="s">
        <v>453</v>
      </c>
      <c r="E23" s="68"/>
      <c r="F23" s="68"/>
      <c r="G23" s="68"/>
      <c r="H23" s="31" t="s">
        <v>39</v>
      </c>
      <c r="I23" t="str">
        <f>IFERROR(IF(TRIM(A23)&lt;&gt;"",INDEX('[1]6MD'!$A:$B,MATCH(A23,'[1]6MD'!$A:$A,0),2),""),"")</f>
        <v>Под звездочку. Синхронизация фазных напряжений</v>
      </c>
    </row>
    <row r="24" spans="1:9" ht="30" x14ac:dyDescent="0.25">
      <c r="A24" s="32" t="s">
        <v>40</v>
      </c>
      <c r="B24" s="31" t="s">
        <v>41</v>
      </c>
      <c r="C24" s="31" t="s">
        <v>3</v>
      </c>
      <c r="D24" s="68" t="s">
        <v>453</v>
      </c>
      <c r="E24" s="68"/>
      <c r="F24" s="68"/>
      <c r="G24" s="68"/>
      <c r="H24" s="31" t="s">
        <v>42</v>
      </c>
      <c r="I24" t="str">
        <f>IFERROR(IF(TRIM(A24)&lt;&gt;"",INDEX('[1]6MD'!$A:$B,MATCH(A24,'[1]6MD'!$A:$A,0),2),""),"")</f>
        <v>Под звездочку. Синхронизация фазных напряжений</v>
      </c>
    </row>
    <row r="25" spans="1:9" ht="30" x14ac:dyDescent="0.25">
      <c r="A25" s="32" t="s">
        <v>43</v>
      </c>
      <c r="B25" s="31" t="s">
        <v>44</v>
      </c>
      <c r="C25" s="31" t="s">
        <v>3</v>
      </c>
      <c r="D25" s="68" t="s">
        <v>452</v>
      </c>
      <c r="E25" s="68"/>
      <c r="F25" s="68"/>
      <c r="G25" s="68"/>
      <c r="H25" s="31" t="s">
        <v>45</v>
      </c>
      <c r="I25" t="str">
        <f>IFERROR(IF(TRIM(A25)&lt;&gt;"",INDEX('[1]6MD'!$A:$B,MATCH(A25,'[1]6MD'!$A:$A,0),2),""),"")</f>
        <v>Под звездочку. Синхронизация линейных напряжений</v>
      </c>
    </row>
    <row r="26" spans="1:9" ht="30" x14ac:dyDescent="0.25">
      <c r="A26" s="32" t="s">
        <v>46</v>
      </c>
      <c r="B26" s="31" t="s">
        <v>47</v>
      </c>
      <c r="C26" s="31" t="s">
        <v>3</v>
      </c>
      <c r="D26" s="68" t="s">
        <v>452</v>
      </c>
      <c r="E26" s="68"/>
      <c r="F26" s="68"/>
      <c r="G26" s="68"/>
      <c r="H26" s="31" t="s">
        <v>48</v>
      </c>
      <c r="I26" t="str">
        <f>IFERROR(IF(TRIM(A26)&lt;&gt;"",INDEX('[1]6MD'!$A:$B,MATCH(A26,'[1]6MD'!$A:$A,0),2),""),"")</f>
        <v>Под звездочку, обычно исп. для АПВ. Синхронизация линейных напряжений</v>
      </c>
    </row>
    <row r="27" spans="1:9" ht="30" x14ac:dyDescent="0.25">
      <c r="A27" s="32" t="s">
        <v>49</v>
      </c>
      <c r="B27" s="31" t="s">
        <v>50</v>
      </c>
      <c r="C27" s="31" t="s">
        <v>3</v>
      </c>
      <c r="D27" s="68" t="s">
        <v>452</v>
      </c>
      <c r="E27" s="68"/>
      <c r="F27" s="68"/>
      <c r="G27" s="68"/>
      <c r="H27" s="31" t="s">
        <v>51</v>
      </c>
      <c r="I27" t="str">
        <f>IFERROR(IF(TRIM(A27)&lt;&gt;"",INDEX('[1]6MD'!$A:$B,MATCH(A27,'[1]6MD'!$A:$A,0),2),""),"")</f>
        <v>Под звездочку, обычно исп. для Опер.Вкл. Синхронизация линейных напряжений</v>
      </c>
    </row>
    <row r="28" spans="1:9" ht="30" x14ac:dyDescent="0.25">
      <c r="A28" s="30" t="s">
        <v>52</v>
      </c>
      <c r="B28" s="31" t="s">
        <v>53</v>
      </c>
      <c r="C28" s="31" t="s">
        <v>54</v>
      </c>
      <c r="D28" s="68" t="s">
        <v>55</v>
      </c>
      <c r="E28" s="68"/>
      <c r="F28" s="68"/>
      <c r="G28" s="68"/>
      <c r="H28" s="31" t="s">
        <v>56</v>
      </c>
      <c r="I28" t="str">
        <f>IFERROR(IF(TRIM(A28)&lt;&gt;"",INDEX('[1]6MD'!$A:$B,MATCH(A28,'[1]6MD'!$A:$A,0),2),""),"")</f>
        <v/>
      </c>
    </row>
    <row r="29" spans="1:9" ht="165" x14ac:dyDescent="0.25">
      <c r="A29" s="30" t="s">
        <v>57</v>
      </c>
      <c r="B29" s="31" t="s">
        <v>58</v>
      </c>
      <c r="C29" s="31" t="s">
        <v>59</v>
      </c>
      <c r="D29" s="68" t="s">
        <v>60</v>
      </c>
      <c r="E29" s="68"/>
      <c r="F29" s="68"/>
      <c r="G29" s="68"/>
      <c r="H29" s="31" t="s">
        <v>61</v>
      </c>
      <c r="I29" t="str">
        <f>IFERROR(IF(TRIM(A29)&lt;&gt;"",INDEX('[1]6MD'!$A:$B,MATCH(A29,'[1]6MD'!$A:$A,0),2),""),"")</f>
        <v/>
      </c>
    </row>
    <row r="30" spans="1:9" ht="90" x14ac:dyDescent="0.25">
      <c r="A30" s="30" t="s">
        <v>62</v>
      </c>
      <c r="B30" s="31" t="s">
        <v>63</v>
      </c>
      <c r="C30" s="31" t="s">
        <v>64</v>
      </c>
      <c r="D30" s="68" t="s">
        <v>65</v>
      </c>
      <c r="E30" s="68"/>
      <c r="F30" s="68"/>
      <c r="G30" s="68"/>
      <c r="H30" s="31" t="s">
        <v>66</v>
      </c>
      <c r="I30" t="str">
        <f>IFERROR(IF(TRIM(A30)&lt;&gt;"",INDEX('[1]6MD'!$A:$B,MATCH(A30,'[1]6MD'!$A:$A,0),2),""),"")</f>
        <v>с Отключением без времени действия</v>
      </c>
    </row>
    <row r="31" spans="1:9" ht="30" x14ac:dyDescent="0.25">
      <c r="A31" s="30" t="s">
        <v>67</v>
      </c>
      <c r="B31" s="31" t="s">
        <v>68</v>
      </c>
      <c r="C31" s="31" t="s">
        <v>3</v>
      </c>
      <c r="D31" s="68" t="s">
        <v>8</v>
      </c>
      <c r="E31" s="68"/>
      <c r="F31" s="68"/>
      <c r="G31" s="68"/>
      <c r="H31" s="31" t="s">
        <v>69</v>
      </c>
      <c r="I31" t="str">
        <f>IFERROR(IF(TRIM(A31)&lt;&gt;"",INDEX('[1]6MD'!$A:$B,MATCH(A31,'[1]6MD'!$A:$A,0),2),""),"")</f>
        <v/>
      </c>
    </row>
    <row r="32" spans="1:9" ht="17.25" x14ac:dyDescent="0.25">
      <c r="A32" s="76" t="s">
        <v>78</v>
      </c>
      <c r="B32" s="76"/>
      <c r="C32" s="76"/>
      <c r="D32" s="76"/>
      <c r="E32" s="76"/>
      <c r="F32" s="76"/>
      <c r="G32" s="76"/>
      <c r="H32" s="76"/>
      <c r="I32" t="str">
        <f>IFERROR(IF(TRIM(A32)&lt;&gt;"",INDEX('[1]6MD'!$A:$B,MATCH(A32,'[1]6MD'!$A:$A,0),2),""),"")</f>
        <v/>
      </c>
    </row>
    <row r="33" spans="1:9" x14ac:dyDescent="0.25">
      <c r="A33" s="69" t="s">
        <v>79</v>
      </c>
      <c r="B33" s="69"/>
      <c r="C33" s="69"/>
      <c r="D33" s="69"/>
      <c r="E33" s="69"/>
      <c r="F33" s="69"/>
      <c r="G33" s="69"/>
      <c r="H33" s="69"/>
      <c r="I33" t="str">
        <f>IFERROR(IF(TRIM(A33)&lt;&gt;"",INDEX('[1]6MD'!$A:$B,MATCH(A33,'[1]6MD'!$A:$A,0),2),""),"")</f>
        <v/>
      </c>
    </row>
    <row r="34" spans="1:9" x14ac:dyDescent="0.25">
      <c r="A34" s="70" t="s">
        <v>70</v>
      </c>
      <c r="B34" s="70" t="s">
        <v>71</v>
      </c>
      <c r="C34" s="70" t="s">
        <v>72</v>
      </c>
      <c r="D34" s="70" t="s">
        <v>73</v>
      </c>
      <c r="E34" s="70"/>
      <c r="F34" s="70"/>
      <c r="G34" s="70"/>
      <c r="H34" s="70" t="s">
        <v>74</v>
      </c>
      <c r="I34" t="str">
        <f>IFERROR(IF(TRIM(A34)&lt;&gt;"",INDEX('[1]6MD'!$A:$B,MATCH(A34,'[1]6MD'!$A:$A,0),2),""),"")</f>
        <v/>
      </c>
    </row>
    <row r="35" spans="1:9" x14ac:dyDescent="0.25">
      <c r="A35" s="70"/>
      <c r="B35" s="70"/>
      <c r="C35" s="70"/>
      <c r="D35" s="70"/>
      <c r="E35" s="70"/>
      <c r="F35" s="70"/>
      <c r="G35" s="70"/>
      <c r="H35" s="70"/>
      <c r="I35" t="str">
        <f>IFERROR(IF(TRIM(A35)&lt;&gt;"",INDEX('[1]6MD'!$A:$B,MATCH(A35,'[1]6MD'!$A:$A,0),2),""),"")</f>
        <v/>
      </c>
    </row>
    <row r="36" spans="1:9" x14ac:dyDescent="0.25">
      <c r="A36" s="30" t="s">
        <v>80</v>
      </c>
      <c r="B36" s="31" t="s">
        <v>81</v>
      </c>
      <c r="C36" s="31" t="s">
        <v>82</v>
      </c>
      <c r="D36" s="68" t="s">
        <v>83</v>
      </c>
      <c r="E36" s="68"/>
      <c r="F36" s="68"/>
      <c r="G36" s="68"/>
      <c r="H36" s="31" t="s">
        <v>84</v>
      </c>
      <c r="I36" t="str">
        <f>IFERROR(IF(TRIM(A36)&lt;&gt;"",INDEX('[1]6MD'!$A:$B,MATCH(A36,'[1]6MD'!$A:$A,0),2),""),"")</f>
        <v>Линейное</v>
      </c>
    </row>
    <row r="37" spans="1:9" x14ac:dyDescent="0.25">
      <c r="A37" s="30" t="s">
        <v>85</v>
      </c>
      <c r="B37" s="31" t="s">
        <v>86</v>
      </c>
      <c r="C37" s="31" t="s">
        <v>87</v>
      </c>
      <c r="D37" s="68" t="s">
        <v>88</v>
      </c>
      <c r="E37" s="68"/>
      <c r="F37" s="68"/>
      <c r="G37" s="68"/>
      <c r="H37" s="31" t="s">
        <v>89</v>
      </c>
      <c r="I37" t="str">
        <f>IFERROR(IF(TRIM(A37)&lt;&gt;"",INDEX('[1]6MD'!$A:$B,MATCH(A37,'[1]6MD'!$A:$A,0),2),""),"")</f>
        <v>Линейное</v>
      </c>
    </row>
    <row r="38" spans="1:9" x14ac:dyDescent="0.25">
      <c r="A38" s="30" t="s">
        <v>90</v>
      </c>
      <c r="B38" s="31" t="s">
        <v>91</v>
      </c>
      <c r="C38" s="31" t="s">
        <v>92</v>
      </c>
      <c r="D38" s="68" t="s">
        <v>93</v>
      </c>
      <c r="E38" s="68"/>
      <c r="F38" s="68"/>
      <c r="G38" s="68"/>
      <c r="H38" s="31" t="s">
        <v>94</v>
      </c>
      <c r="I38" t="str">
        <f>IFERROR(IF(TRIM(A38)&lt;&gt;"",INDEX('[1]6MD'!$A:$B,MATCH(A38,'[1]6MD'!$A:$A,0),2),""),"")</f>
        <v/>
      </c>
    </row>
    <row r="39" spans="1:9" ht="30" x14ac:dyDescent="0.25">
      <c r="A39" s="30" t="s">
        <v>95</v>
      </c>
      <c r="B39" s="31" t="s">
        <v>96</v>
      </c>
      <c r="C39" s="31" t="s">
        <v>97</v>
      </c>
      <c r="D39" s="68" t="s">
        <v>98</v>
      </c>
      <c r="E39" s="68"/>
      <c r="F39" s="68"/>
      <c r="G39" s="68"/>
      <c r="H39" s="31" t="s">
        <v>99</v>
      </c>
      <c r="I39" t="str">
        <f>IFERROR(IF(TRIM(A39)&lt;&gt;"",INDEX('[1]6MD'!$A:$B,MATCH(A39,'[1]6MD'!$A:$A,0),2),""),"")</f>
        <v/>
      </c>
    </row>
    <row r="40" spans="1:9" ht="30" x14ac:dyDescent="0.25">
      <c r="A40" s="30" t="s">
        <v>100</v>
      </c>
      <c r="B40" s="31" t="s">
        <v>101</v>
      </c>
      <c r="C40" s="31" t="s">
        <v>102</v>
      </c>
      <c r="D40" s="68" t="s">
        <v>103</v>
      </c>
      <c r="E40" s="68"/>
      <c r="F40" s="68"/>
      <c r="G40" s="68"/>
      <c r="H40" s="31" t="s">
        <v>104</v>
      </c>
      <c r="I40" t="str">
        <f>IFERROR(IF(TRIM(A40)&lt;&gt;"",INDEX('[1]6MD'!$A:$B,MATCH(A40,'[1]6MD'!$A:$A,0),2),""),"")</f>
        <v/>
      </c>
    </row>
    <row r="41" spans="1:9" x14ac:dyDescent="0.25">
      <c r="A41" s="69" t="s">
        <v>105</v>
      </c>
      <c r="B41" s="69"/>
      <c r="C41" s="69"/>
      <c r="D41" s="69"/>
      <c r="E41" s="69"/>
      <c r="F41" s="69"/>
      <c r="G41" s="69"/>
      <c r="H41" s="69"/>
      <c r="I41" t="str">
        <f>IFERROR(IF(TRIM(A41)&lt;&gt;"",INDEX('[1]6MD'!$A:$B,MATCH(A41,'[1]6MD'!$A:$A,0),2),""),"")</f>
        <v/>
      </c>
    </row>
    <row r="42" spans="1:9" x14ac:dyDescent="0.25">
      <c r="A42" s="70" t="s">
        <v>70</v>
      </c>
      <c r="B42" s="70" t="s">
        <v>71</v>
      </c>
      <c r="C42" s="70" t="s">
        <v>72</v>
      </c>
      <c r="D42" s="70" t="s">
        <v>73</v>
      </c>
      <c r="E42" s="70"/>
      <c r="F42" s="70"/>
      <c r="G42" s="70"/>
      <c r="H42" s="70" t="s">
        <v>74</v>
      </c>
      <c r="I42" t="str">
        <f>IFERROR(IF(TRIM(A42)&lt;&gt;"",INDEX('[1]6MD'!$A:$B,MATCH(A42,'[1]6MD'!$A:$A,0),2),""),"")</f>
        <v/>
      </c>
    </row>
    <row r="43" spans="1:9" x14ac:dyDescent="0.25">
      <c r="A43" s="70"/>
      <c r="B43" s="70"/>
      <c r="C43" s="70"/>
      <c r="D43" s="70"/>
      <c r="E43" s="70"/>
      <c r="F43" s="70"/>
      <c r="G43" s="70"/>
      <c r="H43" s="70"/>
      <c r="I43" t="str">
        <f>IFERROR(IF(TRIM(A43)&lt;&gt;"",INDEX('[1]6MD'!$A:$B,MATCH(A43,'[1]6MD'!$A:$A,0),2),""),"")</f>
        <v/>
      </c>
    </row>
    <row r="44" spans="1:9" x14ac:dyDescent="0.25">
      <c r="A44" s="30" t="s">
        <v>106</v>
      </c>
      <c r="B44" s="31" t="s">
        <v>107</v>
      </c>
      <c r="C44" s="31" t="s">
        <v>108</v>
      </c>
      <c r="D44" s="68" t="s">
        <v>454</v>
      </c>
      <c r="E44" s="68"/>
      <c r="F44" s="68"/>
      <c r="G44" s="68"/>
      <c r="H44" s="31" t="s">
        <v>110</v>
      </c>
      <c r="I44" t="str">
        <f>IFERROR(IF(TRIM(A44)&lt;&gt;"",INDEX('[1]6MD'!$A:$B,MATCH(A44,'[1]6MD'!$A:$A,0),2),""),"")</f>
        <v>50 мс. Под звездочку. Табл.3 ИП 226 SG EA от 2014-07-07</v>
      </c>
    </row>
    <row r="45" spans="1:9" x14ac:dyDescent="0.25">
      <c r="A45" s="30" t="s">
        <v>111</v>
      </c>
      <c r="B45" s="31" t="s">
        <v>112</v>
      </c>
      <c r="C45" s="31" t="s">
        <v>113</v>
      </c>
      <c r="D45" s="68" t="s">
        <v>455</v>
      </c>
      <c r="E45" s="68"/>
      <c r="F45" s="68"/>
      <c r="G45" s="68"/>
      <c r="H45" s="31" t="s">
        <v>115</v>
      </c>
      <c r="I45" t="str">
        <f>IFERROR(IF(TRIM(A45)&lt;&gt;"",INDEX('[1]6MD'!$A:$B,MATCH(A45,'[1]6MD'!$A:$A,0),2),""),"")</f>
        <v>Под звездочку</v>
      </c>
    </row>
    <row r="46" spans="1:9" ht="17.25" x14ac:dyDescent="0.25">
      <c r="A46" s="76" t="s">
        <v>116</v>
      </c>
      <c r="B46" s="76"/>
      <c r="C46" s="76"/>
      <c r="D46" s="76"/>
      <c r="E46" s="76"/>
      <c r="F46" s="76"/>
      <c r="G46" s="76"/>
      <c r="H46" s="76"/>
      <c r="I46" t="str">
        <f>IFERROR(IF(TRIM(A46)&lt;&gt;"",INDEX('[1]6MD'!$A:$B,MATCH(A46,'[1]6MD'!$A:$A,0),2),""),"")</f>
        <v/>
      </c>
    </row>
    <row r="47" spans="1:9" x14ac:dyDescent="0.25">
      <c r="A47" s="69" t="s">
        <v>117</v>
      </c>
      <c r="B47" s="69"/>
      <c r="C47" s="69"/>
      <c r="D47" s="69"/>
      <c r="E47" s="69"/>
      <c r="F47" s="69"/>
      <c r="G47" s="69"/>
      <c r="H47" s="69"/>
      <c r="I47" t="str">
        <f>IFERROR(IF(TRIM(A47)&lt;&gt;"",INDEX('[1]6MD'!$A:$B,MATCH(A47,'[1]6MD'!$A:$A,0),2),""),"")</f>
        <v/>
      </c>
    </row>
    <row r="48" spans="1:9" x14ac:dyDescent="0.25">
      <c r="A48" s="70" t="s">
        <v>70</v>
      </c>
      <c r="B48" s="70" t="s">
        <v>71</v>
      </c>
      <c r="C48" s="70" t="s">
        <v>72</v>
      </c>
      <c r="D48" s="70" t="s">
        <v>73</v>
      </c>
      <c r="E48" s="70"/>
      <c r="F48" s="70"/>
      <c r="G48" s="70"/>
      <c r="H48" s="70" t="s">
        <v>74</v>
      </c>
      <c r="I48" t="str">
        <f>IFERROR(IF(TRIM(A48)&lt;&gt;"",INDEX('[1]6MD'!$A:$B,MATCH(A48,'[1]6MD'!$A:$A,0),2),""),"")</f>
        <v/>
      </c>
    </row>
    <row r="49" spans="1:9" x14ac:dyDescent="0.25">
      <c r="A49" s="70"/>
      <c r="B49" s="70"/>
      <c r="C49" s="70"/>
      <c r="D49" s="70"/>
      <c r="E49" s="70"/>
      <c r="F49" s="70"/>
      <c r="G49" s="70"/>
      <c r="H49" s="70"/>
      <c r="I49" t="str">
        <f>IFERROR(IF(TRIM(A49)&lt;&gt;"",INDEX('[1]6MD'!$A:$B,MATCH(A49,'[1]6MD'!$A:$A,0),2),""),"")</f>
        <v/>
      </c>
    </row>
    <row r="50" spans="1:9" ht="45" x14ac:dyDescent="0.25">
      <c r="A50" s="30" t="s">
        <v>118</v>
      </c>
      <c r="B50" s="31" t="s">
        <v>119</v>
      </c>
      <c r="C50" s="31" t="s">
        <v>120</v>
      </c>
      <c r="D50" s="68" t="s">
        <v>121</v>
      </c>
      <c r="E50" s="68"/>
      <c r="F50" s="68"/>
      <c r="G50" s="68"/>
      <c r="H50" s="31" t="s">
        <v>122</v>
      </c>
      <c r="I50" t="str">
        <f>IFERROR(IF(TRIM(A50)&lt;&gt;"",INDEX('[1]6MD'!$A:$B,MATCH(A50,'[1]6MD'!$A:$A,0),2),""),"")</f>
        <v/>
      </c>
    </row>
    <row r="51" spans="1:9" ht="30" x14ac:dyDescent="0.25">
      <c r="A51" s="30" t="s">
        <v>123</v>
      </c>
      <c r="B51" s="31" t="s">
        <v>124</v>
      </c>
      <c r="C51" s="31" t="s">
        <v>125</v>
      </c>
      <c r="D51" s="68" t="s">
        <v>126</v>
      </c>
      <c r="E51" s="68"/>
      <c r="F51" s="68"/>
      <c r="G51" s="68"/>
      <c r="H51" s="31" t="s">
        <v>127</v>
      </c>
      <c r="I51" t="str">
        <f>IFERROR(IF(TRIM(A51)&lt;&gt;"",INDEX('[1]6MD'!$A:$B,MATCH(A51,'[1]6MD'!$A:$A,0),2),""),"")</f>
        <v/>
      </c>
    </row>
    <row r="52" spans="1:9" x14ac:dyDescent="0.25">
      <c r="A52" s="30" t="s">
        <v>128</v>
      </c>
      <c r="B52" s="31" t="s">
        <v>129</v>
      </c>
      <c r="C52" s="31" t="s">
        <v>130</v>
      </c>
      <c r="D52" s="90" t="s">
        <v>456</v>
      </c>
      <c r="E52" s="90"/>
      <c r="F52" s="90"/>
      <c r="G52" s="90"/>
      <c r="H52" s="31" t="s">
        <v>131</v>
      </c>
      <c r="I52" t="str">
        <f>IFERROR(IF(TRIM(A52)&lt;&gt;"",INDEX('[1]6MD'!$A:$B,MATCH(A52,'[1]6MD'!$A:$A,0),2),""),"")</f>
        <v>5.0 сек, задаем по максимуму</v>
      </c>
    </row>
    <row r="53" spans="1:9" x14ac:dyDescent="0.25">
      <c r="A53" s="30" t="s">
        <v>132</v>
      </c>
      <c r="B53" s="31" t="s">
        <v>133</v>
      </c>
      <c r="C53" s="31" t="s">
        <v>134</v>
      </c>
      <c r="D53" s="90" t="s">
        <v>457</v>
      </c>
      <c r="E53" s="90"/>
      <c r="F53" s="90"/>
      <c r="G53" s="90"/>
      <c r="H53" s="31" t="s">
        <v>135</v>
      </c>
      <c r="I53" t="str">
        <f>IFERROR(IF(TRIM(A53)&lt;&gt;"",INDEX('[1]6MD'!$A:$B,MATCH(A53,'[1]6MD'!$A:$A,0),2),""),"")</f>
        <v>0.5 сек, задаем по максимуму</v>
      </c>
    </row>
    <row r="54" spans="1:9" x14ac:dyDescent="0.25">
      <c r="A54" s="30" t="s">
        <v>136</v>
      </c>
      <c r="B54" s="31" t="s">
        <v>137</v>
      </c>
      <c r="C54" s="31" t="s">
        <v>134</v>
      </c>
      <c r="D54" s="90" t="s">
        <v>457</v>
      </c>
      <c r="E54" s="90"/>
      <c r="F54" s="90"/>
      <c r="G54" s="90"/>
      <c r="H54" s="31" t="s">
        <v>138</v>
      </c>
      <c r="I54" t="str">
        <f>IFERROR(IF(TRIM(A54)&lt;&gt;"",INDEX('[1]6MD'!$A:$B,MATCH(A54,'[1]6MD'!$A:$A,0),2),""),"")</f>
        <v>0.5 сек, задаем по максимуму</v>
      </c>
    </row>
    <row r="55" spans="1:9" x14ac:dyDescent="0.25">
      <c r="A55" s="30" t="s">
        <v>139</v>
      </c>
      <c r="B55" s="31" t="s">
        <v>140</v>
      </c>
      <c r="C55" s="31" t="s">
        <v>141</v>
      </c>
      <c r="D55" s="90" t="s">
        <v>456</v>
      </c>
      <c r="E55" s="90"/>
      <c r="F55" s="90"/>
      <c r="G55" s="90"/>
      <c r="H55" s="31" t="s">
        <v>142</v>
      </c>
      <c r="I55" t="str">
        <f>IFERROR(IF(TRIM(A55)&lt;&gt;"",INDEX('[1]6MD'!$A:$B,MATCH(A55,'[1]6MD'!$A:$A,0),2),""),"")</f>
        <v>5.0 сек, задаем по максимуму</v>
      </c>
    </row>
    <row r="56" spans="1:9" ht="17.25" x14ac:dyDescent="0.25">
      <c r="A56" s="76" t="s">
        <v>143</v>
      </c>
      <c r="B56" s="76"/>
      <c r="C56" s="76"/>
      <c r="D56" s="76"/>
      <c r="E56" s="76"/>
      <c r="F56" s="76"/>
      <c r="G56" s="76"/>
      <c r="H56" s="76"/>
      <c r="I56" t="str">
        <f>IFERROR(IF(TRIM(A56)&lt;&gt;"",INDEX('[1]6MD'!$A:$B,MATCH(A56,'[1]6MD'!$A:$A,0),2),""),"")</f>
        <v/>
      </c>
    </row>
    <row r="57" spans="1:9" ht="15" customHeight="1" x14ac:dyDescent="0.25">
      <c r="A57" s="70" t="s">
        <v>70</v>
      </c>
      <c r="B57" s="70" t="s">
        <v>71</v>
      </c>
      <c r="C57" s="77" t="s">
        <v>72</v>
      </c>
      <c r="D57" s="79" t="s">
        <v>73</v>
      </c>
      <c r="E57" s="80"/>
      <c r="F57" s="80"/>
      <c r="G57" s="81"/>
      <c r="H57" s="70" t="s">
        <v>74</v>
      </c>
      <c r="I57" t="str">
        <f>IFERROR(IF(TRIM(A57)&lt;&gt;"",INDEX('[1]6MD'!$A:$B,MATCH(A57,'[1]6MD'!$A:$A,0),2),""),"")</f>
        <v/>
      </c>
    </row>
    <row r="58" spans="1:9" x14ac:dyDescent="0.25">
      <c r="A58" s="70"/>
      <c r="B58" s="70"/>
      <c r="C58" s="78"/>
      <c r="D58" s="82"/>
      <c r="E58" s="83"/>
      <c r="F58" s="83"/>
      <c r="G58" s="84"/>
      <c r="H58" s="70"/>
      <c r="I58" t="str">
        <f>IFERROR(IF(TRIM(A58)&lt;&gt;"",INDEX('[1]6MD'!$A:$B,MATCH(A58,'[1]6MD'!$A:$A,0),2),""),"")</f>
        <v/>
      </c>
    </row>
    <row r="59" spans="1:9" x14ac:dyDescent="0.25">
      <c r="A59" s="30" t="s">
        <v>144</v>
      </c>
      <c r="B59" s="31" t="s">
        <v>145</v>
      </c>
      <c r="C59" s="31" t="s">
        <v>146</v>
      </c>
      <c r="D59" s="68" t="s">
        <v>490</v>
      </c>
      <c r="E59" s="68"/>
      <c r="F59" s="68"/>
      <c r="G59" s="68"/>
      <c r="H59" s="31" t="s">
        <v>147</v>
      </c>
      <c r="I59" t="str">
        <f>IFERROR(IF(TRIM(A59)&lt;&gt;"",INDEX('[1]6MD'!$A:$B,MATCH(A59,'[1]6MD'!$A:$A,0),2),""),"")</f>
        <v>Должна быть меньше или равна току УРОВ (3902), см. \СРЗА\Уставки\Расчёт уставок текущий\2020-04-06 Анализ УРОВ Siemens 6MD\</v>
      </c>
    </row>
    <row r="60" spans="1:9" ht="30" x14ac:dyDescent="0.25">
      <c r="A60" s="30" t="s">
        <v>148</v>
      </c>
      <c r="B60" s="31" t="s">
        <v>149</v>
      </c>
      <c r="C60" s="31" t="s">
        <v>150</v>
      </c>
      <c r="D60" s="68" t="s">
        <v>151</v>
      </c>
      <c r="E60" s="68"/>
      <c r="F60" s="68"/>
      <c r="G60" s="68"/>
      <c r="H60" s="31" t="s">
        <v>152</v>
      </c>
      <c r="I60" t="str">
        <f>IFERROR(IF(TRIM(A60)&lt;&gt;"",INDEX('[1]6MD'!$A:$B,MATCH(A60,'[1]6MD'!$A:$A,0),2),""),"")</f>
        <v/>
      </c>
    </row>
    <row r="61" spans="1:9" ht="30" x14ac:dyDescent="0.25">
      <c r="A61" s="30" t="s">
        <v>153</v>
      </c>
      <c r="B61" s="31" t="s">
        <v>154</v>
      </c>
      <c r="C61" s="31" t="s">
        <v>113</v>
      </c>
      <c r="D61" s="68" t="s">
        <v>458</v>
      </c>
      <c r="E61" s="68"/>
      <c r="F61" s="68"/>
      <c r="G61" s="68"/>
      <c r="H61" s="31" t="s">
        <v>155</v>
      </c>
      <c r="I61" t="str">
        <f>IFERROR(IF(TRIM(A61)&lt;&gt;"",INDEX('[1]6MD'!$A:$B,MATCH(A61,'[1]6MD'!$A:$A,0),2),""),"")</f>
        <v>Под звездочку</v>
      </c>
    </row>
    <row r="62" spans="1:9" ht="17.25" x14ac:dyDescent="0.25">
      <c r="A62" s="76" t="s">
        <v>9</v>
      </c>
      <c r="B62" s="76"/>
      <c r="C62" s="76"/>
      <c r="D62" s="76"/>
      <c r="E62" s="76"/>
      <c r="F62" s="76"/>
      <c r="G62" s="76"/>
      <c r="H62" s="76"/>
      <c r="I62" t="str">
        <f>IFERROR(IF(TRIM(A62)&lt;&gt;"",INDEX('[1]6MD'!$A:$B,MATCH(A62,'[1]6MD'!$A:$A,0),2),""),"")</f>
        <v/>
      </c>
    </row>
    <row r="63" spans="1:9" x14ac:dyDescent="0.25">
      <c r="A63" s="69" t="s">
        <v>75</v>
      </c>
      <c r="B63" s="69"/>
      <c r="C63" s="69"/>
      <c r="D63" s="69"/>
      <c r="E63" s="69"/>
      <c r="F63" s="69"/>
      <c r="G63" s="69"/>
      <c r="H63" s="69"/>
      <c r="I63" t="str">
        <f>IFERROR(IF(TRIM(A63)&lt;&gt;"",INDEX('[1]6MD'!$A:$B,MATCH(A63,'[1]6MD'!$A:$A,0),2),""),"")</f>
        <v/>
      </c>
    </row>
    <row r="64" spans="1:9" x14ac:dyDescent="0.25">
      <c r="A64" s="70" t="s">
        <v>70</v>
      </c>
      <c r="B64" s="70" t="s">
        <v>71</v>
      </c>
      <c r="C64" s="70" t="s">
        <v>72</v>
      </c>
      <c r="D64" s="70" t="s">
        <v>73</v>
      </c>
      <c r="E64" s="70"/>
      <c r="F64" s="70"/>
      <c r="G64" s="70"/>
      <c r="H64" s="70" t="s">
        <v>74</v>
      </c>
      <c r="I64" t="str">
        <f>IFERROR(IF(TRIM(A64)&lt;&gt;"",INDEX('[1]6MD'!$A:$B,MATCH(A64,'[1]6MD'!$A:$A,0),2),""),"")</f>
        <v/>
      </c>
    </row>
    <row r="65" spans="1:9" x14ac:dyDescent="0.25">
      <c r="A65" s="70"/>
      <c r="B65" s="70"/>
      <c r="C65" s="70"/>
      <c r="D65" s="70"/>
      <c r="E65" s="70"/>
      <c r="F65" s="70"/>
      <c r="G65" s="70"/>
      <c r="H65" s="70"/>
      <c r="I65" t="str">
        <f>IFERROR(IF(TRIM(A65)&lt;&gt;"",INDEX('[1]6MD'!$A:$B,MATCH(A65,'[1]6MD'!$A:$A,0),2),""),"")</f>
        <v/>
      </c>
    </row>
    <row r="66" spans="1:9" ht="30" x14ac:dyDescent="0.25">
      <c r="A66" s="32" t="s">
        <v>156</v>
      </c>
      <c r="B66" s="31" t="s">
        <v>157</v>
      </c>
      <c r="C66" s="31" t="s">
        <v>158</v>
      </c>
      <c r="D66" s="68" t="s">
        <v>459</v>
      </c>
      <c r="E66" s="68"/>
      <c r="F66" s="68"/>
      <c r="G66" s="68"/>
      <c r="H66" s="31" t="s">
        <v>159</v>
      </c>
      <c r="I66" t="str">
        <f>IFERROR(IF(TRIM(A66)&lt;&gt;"",INDEX('[1]6MD'!$A:$B,MATCH(A66,'[1]6MD'!$A:$A,0),2),""),"")</f>
        <v>Пустые или под звездочку</v>
      </c>
    </row>
    <row r="67" spans="1:9" ht="17.25" x14ac:dyDescent="0.25">
      <c r="A67" s="76" t="s">
        <v>15</v>
      </c>
      <c r="B67" s="76"/>
      <c r="C67" s="76"/>
      <c r="D67" s="76"/>
      <c r="E67" s="76"/>
      <c r="F67" s="76"/>
      <c r="G67" s="76"/>
      <c r="H67" s="76"/>
      <c r="I67" t="str">
        <f>IFERROR(IF(TRIM(A67)&lt;&gt;"",INDEX('[1]6MD'!$A:$B,MATCH(A67,'[1]6MD'!$A:$A,0),2),""),"")</f>
        <v/>
      </c>
    </row>
    <row r="68" spans="1:9" x14ac:dyDescent="0.25">
      <c r="A68" s="69" t="s">
        <v>75</v>
      </c>
      <c r="B68" s="69"/>
      <c r="C68" s="69"/>
      <c r="D68" s="69"/>
      <c r="E68" s="69"/>
      <c r="F68" s="69"/>
      <c r="G68" s="69"/>
      <c r="H68" s="69"/>
      <c r="I68" t="str">
        <f>IFERROR(IF(TRIM(A68)&lt;&gt;"",INDEX('[1]6MD'!$A:$B,MATCH(A68,'[1]6MD'!$A:$A,0),2),""),"")</f>
        <v/>
      </c>
    </row>
    <row r="69" spans="1:9" x14ac:dyDescent="0.25">
      <c r="A69" s="70" t="s">
        <v>70</v>
      </c>
      <c r="B69" s="70" t="s">
        <v>71</v>
      </c>
      <c r="C69" s="70" t="s">
        <v>72</v>
      </c>
      <c r="D69" s="70" t="s">
        <v>73</v>
      </c>
      <c r="E69" s="70"/>
      <c r="F69" s="70"/>
      <c r="G69" s="70"/>
      <c r="H69" s="70" t="s">
        <v>74</v>
      </c>
      <c r="I69" t="str">
        <f>IFERROR(IF(TRIM(A69)&lt;&gt;"",INDEX('[1]6MD'!$A:$B,MATCH(A69,'[1]6MD'!$A:$A,0),2),""),"")</f>
        <v/>
      </c>
    </row>
    <row r="70" spans="1:9" x14ac:dyDescent="0.25">
      <c r="A70" s="70"/>
      <c r="B70" s="70"/>
      <c r="C70" s="70"/>
      <c r="D70" s="70"/>
      <c r="E70" s="70"/>
      <c r="F70" s="70"/>
      <c r="G70" s="70"/>
      <c r="H70" s="70"/>
      <c r="I70" t="str">
        <f>IFERROR(IF(TRIM(A70)&lt;&gt;"",INDEX('[1]6MD'!$A:$B,MATCH(A70,'[1]6MD'!$A:$A,0),2),""),"")</f>
        <v/>
      </c>
    </row>
    <row r="71" spans="1:9" ht="30" x14ac:dyDescent="0.25">
      <c r="A71" s="32" t="s">
        <v>160</v>
      </c>
      <c r="B71" s="31" t="s">
        <v>157</v>
      </c>
      <c r="C71" s="31" t="s">
        <v>158</v>
      </c>
      <c r="D71" s="68" t="s">
        <v>459</v>
      </c>
      <c r="E71" s="68"/>
      <c r="F71" s="68"/>
      <c r="G71" s="68"/>
      <c r="H71" s="31" t="s">
        <v>159</v>
      </c>
      <c r="I71" t="str">
        <f>IFERROR(IF(TRIM(A71)&lt;&gt;"",INDEX('[1]6MD'!$A:$B,MATCH(A71,'[1]6MD'!$A:$A,0),2),""),"")</f>
        <v>Пустые или под звездочку</v>
      </c>
    </row>
    <row r="72" spans="1:9" x14ac:dyDescent="0.25">
      <c r="A72" s="32" t="s">
        <v>161</v>
      </c>
      <c r="B72" s="31" t="s">
        <v>162</v>
      </c>
      <c r="C72" s="31" t="s">
        <v>163</v>
      </c>
      <c r="D72" s="68" t="s">
        <v>460</v>
      </c>
      <c r="E72" s="68"/>
      <c r="F72" s="68"/>
      <c r="G72" s="68"/>
      <c r="H72" s="31" t="s">
        <v>164</v>
      </c>
      <c r="I72" t="str">
        <f>IFERROR(IF(TRIM(A72)&lt;&gt;"",INDEX('[1]6MD'!$A:$B,MATCH(A72,'[1]6MD'!$A:$A,0),2),""),"")</f>
        <v>Пустые или под звездочку</v>
      </c>
    </row>
    <row r="73" spans="1:9" ht="17.25" x14ac:dyDescent="0.25">
      <c r="A73" s="76" t="s">
        <v>24</v>
      </c>
      <c r="B73" s="76"/>
      <c r="C73" s="76"/>
      <c r="D73" s="76"/>
      <c r="E73" s="76"/>
      <c r="F73" s="76"/>
      <c r="G73" s="76"/>
      <c r="H73" s="76"/>
      <c r="I73" t="str">
        <f>IFERROR(IF(TRIM(A73)&lt;&gt;"",INDEX('[1]6MD'!$A:$B,MATCH(A73,'[1]6MD'!$A:$A,0),2),""),"")</f>
        <v/>
      </c>
    </row>
    <row r="74" spans="1:9" x14ac:dyDescent="0.25">
      <c r="A74" s="69" t="s">
        <v>75</v>
      </c>
      <c r="B74" s="69"/>
      <c r="C74" s="69"/>
      <c r="D74" s="69"/>
      <c r="E74" s="69"/>
      <c r="F74" s="69"/>
      <c r="G74" s="69"/>
      <c r="H74" s="69"/>
      <c r="I74" t="str">
        <f>IFERROR(IF(TRIM(A74)&lt;&gt;"",INDEX('[1]6MD'!$A:$B,MATCH(A74,'[1]6MD'!$A:$A,0),2),""),"")</f>
        <v/>
      </c>
    </row>
    <row r="75" spans="1:9" x14ac:dyDescent="0.25">
      <c r="A75" s="70" t="s">
        <v>70</v>
      </c>
      <c r="B75" s="70" t="s">
        <v>71</v>
      </c>
      <c r="C75" s="70" t="s">
        <v>72</v>
      </c>
      <c r="D75" s="70" t="s">
        <v>73</v>
      </c>
      <c r="E75" s="70"/>
      <c r="F75" s="70"/>
      <c r="G75" s="70"/>
      <c r="H75" s="70" t="s">
        <v>74</v>
      </c>
      <c r="I75" t="str">
        <f>IFERROR(IF(TRIM(A75)&lt;&gt;"",INDEX('[1]6MD'!$A:$B,MATCH(A75,'[1]6MD'!$A:$A,0),2),""),"")</f>
        <v/>
      </c>
    </row>
    <row r="76" spans="1:9" x14ac:dyDescent="0.25">
      <c r="A76" s="70"/>
      <c r="B76" s="70"/>
      <c r="C76" s="70"/>
      <c r="D76" s="70"/>
      <c r="E76" s="70"/>
      <c r="F76" s="70"/>
      <c r="G76" s="70"/>
      <c r="H76" s="70"/>
      <c r="I76" t="str">
        <f>IFERROR(IF(TRIM(A76)&lt;&gt;"",INDEX('[1]6MD'!$A:$B,MATCH(A76,'[1]6MD'!$A:$A,0),2),""),"")</f>
        <v/>
      </c>
    </row>
    <row r="77" spans="1:9" ht="30" x14ac:dyDescent="0.25">
      <c r="A77" s="32" t="s">
        <v>165</v>
      </c>
      <c r="B77" s="31" t="s">
        <v>157</v>
      </c>
      <c r="C77" s="31" t="s">
        <v>158</v>
      </c>
      <c r="D77" s="68" t="s">
        <v>459</v>
      </c>
      <c r="E77" s="68"/>
      <c r="F77" s="68"/>
      <c r="G77" s="68"/>
      <c r="H77" s="31" t="s">
        <v>159</v>
      </c>
      <c r="I77" t="str">
        <f>IFERROR(IF(TRIM(A77)&lt;&gt;"",INDEX('[1]6MD'!$A:$B,MATCH(A77,'[1]6MD'!$A:$A,0),2),""),"")</f>
        <v>Пустые или под звездочку</v>
      </c>
    </row>
    <row r="78" spans="1:9" x14ac:dyDescent="0.25">
      <c r="A78" s="32" t="s">
        <v>166</v>
      </c>
      <c r="B78" s="31" t="s">
        <v>162</v>
      </c>
      <c r="C78" s="31" t="s">
        <v>163</v>
      </c>
      <c r="D78" s="68" t="s">
        <v>460</v>
      </c>
      <c r="E78" s="68"/>
      <c r="F78" s="68"/>
      <c r="G78" s="68"/>
      <c r="H78" s="31" t="s">
        <v>164</v>
      </c>
      <c r="I78" t="str">
        <f>IFERROR(IF(TRIM(A78)&lt;&gt;"",INDEX('[1]6MD'!$A:$B,MATCH(A78,'[1]6MD'!$A:$A,0),2),""),"")</f>
        <v>Пустые или под звездочку</v>
      </c>
    </row>
    <row r="79" spans="1:9" ht="17.25" x14ac:dyDescent="0.25">
      <c r="A79" s="76" t="s">
        <v>491</v>
      </c>
      <c r="B79" s="76"/>
      <c r="C79" s="76"/>
      <c r="D79" s="76"/>
      <c r="E79" s="76"/>
      <c r="F79" s="76"/>
      <c r="G79" s="76"/>
      <c r="H79" s="76"/>
      <c r="I79" t="str">
        <f>IFERROR(IF(TRIM(A79)&lt;&gt;"",INDEX('[1]6MD'!$A:$B,MATCH(A79,'[1]6MD'!$A:$A,0),2),""),"")</f>
        <v/>
      </c>
    </row>
    <row r="80" spans="1:9" x14ac:dyDescent="0.25">
      <c r="A80" s="69" t="s">
        <v>167</v>
      </c>
      <c r="B80" s="69"/>
      <c r="C80" s="69"/>
      <c r="D80" s="69"/>
      <c r="E80" s="69"/>
      <c r="F80" s="69"/>
      <c r="G80" s="69"/>
      <c r="H80" s="69"/>
      <c r="I80" t="str">
        <f>IFERROR(IF(TRIM(A80)&lt;&gt;"",INDEX('[1]6MD'!$A:$B,MATCH(A80,'[1]6MD'!$A:$A,0),2),""),"")</f>
        <v/>
      </c>
    </row>
    <row r="81" spans="1:9" x14ac:dyDescent="0.25">
      <c r="A81" s="49" t="s">
        <v>70</v>
      </c>
      <c r="B81" s="49" t="s">
        <v>71</v>
      </c>
      <c r="C81" s="49" t="s">
        <v>72</v>
      </c>
      <c r="D81" s="70" t="s">
        <v>73</v>
      </c>
      <c r="E81" s="70"/>
      <c r="F81" s="70"/>
      <c r="G81" s="70"/>
      <c r="H81" s="49" t="s">
        <v>74</v>
      </c>
      <c r="I81" t="str">
        <f>IFERROR(IF(TRIM(A81)&lt;&gt;"",INDEX('[1]6MD'!$A:$B,MATCH(A81,'[1]6MD'!$A:$A,0),2),""),"")</f>
        <v/>
      </c>
    </row>
    <row r="82" spans="1:9" x14ac:dyDescent="0.25">
      <c r="A82" s="32" t="s">
        <v>492</v>
      </c>
      <c r="B82" s="31" t="s">
        <v>168</v>
      </c>
      <c r="C82" s="31" t="s">
        <v>169</v>
      </c>
      <c r="D82" s="68" t="s">
        <v>461</v>
      </c>
      <c r="E82" s="68"/>
      <c r="F82" s="68"/>
      <c r="G82" s="68"/>
      <c r="H82" s="31" t="s">
        <v>170</v>
      </c>
      <c r="I82" t="str">
        <f>IFERROR(IF(TRIM(A82)&lt;&gt;"",INDEX('[1]6MD'!$A:$B,MATCH(A82,'[1]6MD'!$A:$A,0),2),""),"")</f>
        <v xml:space="preserve">Под звездочку. 6 Группа на НПС для Опер.Вкл. </v>
      </c>
    </row>
    <row r="83" spans="1:9" x14ac:dyDescent="0.25">
      <c r="A83" s="32" t="s">
        <v>493</v>
      </c>
      <c r="B83" s="31" t="s">
        <v>171</v>
      </c>
      <c r="C83" s="31" t="s">
        <v>172</v>
      </c>
      <c r="D83" s="68" t="s">
        <v>462</v>
      </c>
      <c r="E83" s="68"/>
      <c r="F83" s="68"/>
      <c r="G83" s="68"/>
      <c r="H83" s="31" t="s">
        <v>173</v>
      </c>
      <c r="I83" t="str">
        <f>IFERROR(IF(TRIM(A83)&lt;&gt;"",INDEX('[1]6MD'!$A:$B,MATCH(A83,'[1]6MD'!$A:$A,0),2),""),"")</f>
        <v>Под звездочку</v>
      </c>
    </row>
    <row r="84" spans="1:9" x14ac:dyDescent="0.25">
      <c r="A84" s="32" t="s">
        <v>494</v>
      </c>
      <c r="B84" s="31" t="s">
        <v>174</v>
      </c>
      <c r="C84" s="31" t="s">
        <v>175</v>
      </c>
      <c r="D84" s="88" t="s">
        <v>463</v>
      </c>
      <c r="E84" s="88"/>
      <c r="F84" s="88"/>
      <c r="G84" s="88"/>
      <c r="H84" s="31" t="s">
        <v>176</v>
      </c>
      <c r="I84" t="str">
        <f>IFERROR(IF(TRIM(A84)&lt;&gt;"",INDEX('[1]6MD'!$A:$B,MATCH(A84,'[1]6MD'!$A:$A,0),2),""),"")</f>
        <v>Под звездочку</v>
      </c>
    </row>
    <row r="85" spans="1:9" ht="30" x14ac:dyDescent="0.25">
      <c r="A85" s="32" t="s">
        <v>495</v>
      </c>
      <c r="B85" s="31" t="s">
        <v>177</v>
      </c>
      <c r="C85" s="31" t="s">
        <v>178</v>
      </c>
      <c r="D85" s="68" t="s">
        <v>459</v>
      </c>
      <c r="E85" s="68"/>
      <c r="F85" s="68"/>
      <c r="G85" s="68"/>
      <c r="H85" s="31" t="s">
        <v>477</v>
      </c>
      <c r="I85" t="str">
        <f>IFERROR(IF(TRIM(A85)&lt;&gt;"",INDEX('[1]6MD'!$A:$B,MATCH(A85,'[1]6MD'!$A:$A,0),2),""),"")</f>
        <v>Под звездочку. Вписать откуда подводится напряжение.</v>
      </c>
    </row>
    <row r="86" spans="1:9" ht="30" x14ac:dyDescent="0.25">
      <c r="A86" s="32" t="s">
        <v>496</v>
      </c>
      <c r="B86" s="31" t="s">
        <v>179</v>
      </c>
      <c r="C86" s="31" t="s">
        <v>178</v>
      </c>
      <c r="D86" s="68" t="s">
        <v>459</v>
      </c>
      <c r="E86" s="68"/>
      <c r="F86" s="68"/>
      <c r="G86" s="68"/>
      <c r="H86" s="31" t="s">
        <v>478</v>
      </c>
      <c r="I86" t="str">
        <f>IFERROR(IF(TRIM(A86)&lt;&gt;"",INDEX('[1]6MD'!$A:$B,MATCH(A86,'[1]6MD'!$A:$A,0),2),""),"")</f>
        <v>Под звездочку. Вписать откуда подводится напряжение.</v>
      </c>
    </row>
    <row r="87" spans="1:9" x14ac:dyDescent="0.25">
      <c r="A87" s="69" t="s">
        <v>75</v>
      </c>
      <c r="B87" s="69"/>
      <c r="C87" s="69"/>
      <c r="D87" s="69"/>
      <c r="E87" s="69"/>
      <c r="F87" s="69"/>
      <c r="G87" s="69"/>
      <c r="H87" s="69"/>
      <c r="I87" t="str">
        <f>IFERROR(IF(TRIM(A87)&lt;&gt;"",INDEX('[1]6MD'!$A:$B,MATCH(A87,'[1]6MD'!$A:$A,0),2),""),"")</f>
        <v/>
      </c>
    </row>
    <row r="88" spans="1:9" x14ac:dyDescent="0.25">
      <c r="A88" s="70" t="s">
        <v>70</v>
      </c>
      <c r="B88" s="70" t="s">
        <v>71</v>
      </c>
      <c r="C88" s="77" t="s">
        <v>72</v>
      </c>
      <c r="D88" s="79" t="s">
        <v>73</v>
      </c>
      <c r="E88" s="80"/>
      <c r="F88" s="80"/>
      <c r="G88" s="81"/>
      <c r="H88" s="70" t="s">
        <v>74</v>
      </c>
      <c r="I88" t="str">
        <f>IFERROR(IF(TRIM(A88)&lt;&gt;"",INDEX('[1]6MD'!$A:$B,MATCH(A88,'[1]6MD'!$A:$A,0),2),""),"")</f>
        <v/>
      </c>
    </row>
    <row r="89" spans="1:9" x14ac:dyDescent="0.25">
      <c r="A89" s="70"/>
      <c r="B89" s="70"/>
      <c r="C89" s="78"/>
      <c r="D89" s="82"/>
      <c r="E89" s="83"/>
      <c r="F89" s="83"/>
      <c r="G89" s="84"/>
      <c r="H89" s="70"/>
      <c r="I89" t="str">
        <f>IFERROR(IF(TRIM(A89)&lt;&gt;"",INDEX('[1]6MD'!$A:$B,MATCH(A89,'[1]6MD'!$A:$A,0),2),""),"")</f>
        <v/>
      </c>
    </row>
    <row r="90" spans="1:9" ht="45" x14ac:dyDescent="0.25">
      <c r="A90" s="30"/>
      <c r="B90" s="37" t="s">
        <v>464</v>
      </c>
      <c r="C90" s="31"/>
      <c r="D90" s="68" t="s">
        <v>465</v>
      </c>
      <c r="E90" s="68"/>
      <c r="F90" s="68"/>
      <c r="G90" s="68"/>
      <c r="H90" s="37" t="s">
        <v>464</v>
      </c>
      <c r="I90" t="str">
        <f>IFERROR(IF(TRIM(A90)&lt;&gt;"",INDEX('[1]6MD'!$A:$B,MATCH(A90,'[1]6MD'!$A:$A,0),2),""),"")</f>
        <v/>
      </c>
    </row>
    <row r="91" spans="1:9" x14ac:dyDescent="0.25">
      <c r="A91" s="32" t="s">
        <v>497</v>
      </c>
      <c r="B91" s="31" t="s">
        <v>180</v>
      </c>
      <c r="C91" s="31" t="s">
        <v>181</v>
      </c>
      <c r="D91" s="68" t="s">
        <v>498</v>
      </c>
      <c r="E91" s="68"/>
      <c r="F91" s="68"/>
      <c r="G91" s="68"/>
      <c r="H91" s="31" t="s">
        <v>182</v>
      </c>
      <c r="I91" t="str">
        <f>IFERROR(IF(TRIM(A91)&lt;&gt;"",INDEX('[1]6MD'!$A:$B,MATCH(A91,'[1]6MD'!$A:$A,0),2),""),"")</f>
        <v>СЭР; Для групп 6–8 задается в линейных величинах; "Вставить выше уставку "Синхронизируемый коммутационный аппарат", скопировать из конфига ВРУЧНУЮ!!!"</v>
      </c>
    </row>
    <row r="92" spans="1:9" x14ac:dyDescent="0.25">
      <c r="A92" s="32" t="s">
        <v>499</v>
      </c>
      <c r="B92" s="31" t="s">
        <v>183</v>
      </c>
      <c r="C92" s="31" t="s">
        <v>184</v>
      </c>
      <c r="D92" s="68" t="s">
        <v>500</v>
      </c>
      <c r="E92" s="68"/>
      <c r="F92" s="68"/>
      <c r="G92" s="68"/>
      <c r="H92" s="31" t="s">
        <v>185</v>
      </c>
      <c r="I92" t="str">
        <f>IFERROR(IF(TRIM(A92)&lt;&gt;"",INDEX('[1]6MD'!$A:$B,MATCH(A92,'[1]6MD'!$A:$A,0),2),""),"")</f>
        <v>СЭР; Для групп 6–5 задается в линейных величинах.</v>
      </c>
    </row>
    <row r="93" spans="1:9" x14ac:dyDescent="0.25">
      <c r="A93" s="32" t="s">
        <v>501</v>
      </c>
      <c r="B93" s="31" t="s">
        <v>186</v>
      </c>
      <c r="C93" s="31" t="s">
        <v>187</v>
      </c>
      <c r="D93" s="68" t="s">
        <v>502</v>
      </c>
      <c r="E93" s="68"/>
      <c r="F93" s="68"/>
      <c r="G93" s="68"/>
      <c r="H93" s="31" t="s">
        <v>188</v>
      </c>
      <c r="I93" t="str">
        <f>IFERROR(IF(TRIM(A93)&lt;&gt;"",INDEX('[1]6MD'!$A:$B,MATCH(A93,'[1]6MD'!$A:$A,0),2),""),"")</f>
        <v>50 В (мф); Для групп 1–5 задается в фазных величинах.</v>
      </c>
    </row>
    <row r="94" spans="1:9" ht="30" x14ac:dyDescent="0.25">
      <c r="A94" s="32" t="s">
        <v>503</v>
      </c>
      <c r="B94" s="31" t="s">
        <v>189</v>
      </c>
      <c r="C94" s="31" t="s">
        <v>190</v>
      </c>
      <c r="D94" s="68" t="s">
        <v>504</v>
      </c>
      <c r="E94" s="68"/>
      <c r="F94" s="68"/>
      <c r="G94" s="68"/>
      <c r="H94" s="31" t="s">
        <v>191</v>
      </c>
      <c r="I94" t="str">
        <f>IFERROR(IF(TRIM(A94)&lt;&gt;"",INDEX('[1]6MD'!$A:$B,MATCH(A94,'[1]6MD'!$A:$A,0),2),""),"")</f>
        <v>Контроль наличия U на шинах и отсутствия U на линии</v>
      </c>
    </row>
    <row r="95" spans="1:9" ht="30" x14ac:dyDescent="0.25">
      <c r="A95" s="32" t="s">
        <v>505</v>
      </c>
      <c r="B95" s="31" t="s">
        <v>192</v>
      </c>
      <c r="C95" s="31" t="s">
        <v>190</v>
      </c>
      <c r="D95" s="68" t="s">
        <v>504</v>
      </c>
      <c r="E95" s="68"/>
      <c r="F95" s="68"/>
      <c r="G95" s="68"/>
      <c r="H95" s="31" t="s">
        <v>193</v>
      </c>
      <c r="I95" t="str">
        <f>IFERROR(IF(TRIM(A95)&lt;&gt;"",INDEX('[1]6MD'!$A:$B,MATCH(A95,'[1]6MD'!$A:$A,0),2),""),"")</f>
        <v>Контроль отсутствия U на шинах и наличия U на линии</v>
      </c>
    </row>
    <row r="96" spans="1:9" ht="30" x14ac:dyDescent="0.25">
      <c r="A96" s="32" t="s">
        <v>506</v>
      </c>
      <c r="B96" s="31" t="s">
        <v>194</v>
      </c>
      <c r="C96" s="31" t="s">
        <v>190</v>
      </c>
      <c r="D96" s="68" t="s">
        <v>504</v>
      </c>
      <c r="E96" s="68"/>
      <c r="F96" s="68"/>
      <c r="G96" s="68"/>
      <c r="H96" s="31" t="s">
        <v>195</v>
      </c>
      <c r="I96" t="str">
        <f>IFERROR(IF(TRIM(A96)&lt;&gt;"",INDEX('[1]6MD'!$A:$B,MATCH(A96,'[1]6MD'!$A:$A,0),2),""),"")</f>
        <v>Контроль отсутствия U на шинах на линии</v>
      </c>
    </row>
    <row r="97" spans="1:9" x14ac:dyDescent="0.25">
      <c r="A97" s="32" t="s">
        <v>507</v>
      </c>
      <c r="B97" s="31" t="s">
        <v>196</v>
      </c>
      <c r="C97" s="31" t="s">
        <v>197</v>
      </c>
      <c r="D97" s="68" t="s">
        <v>508</v>
      </c>
      <c r="E97" s="68"/>
      <c r="F97" s="68"/>
      <c r="G97" s="68"/>
      <c r="H97" s="31" t="s">
        <v>199</v>
      </c>
      <c r="I97" t="str">
        <f>IFERROR(IF(TRIM(A97)&lt;&gt;"",INDEX('[1]6MD'!$A:$B,MATCH(A97,'[1]6MD'!$A:$A,0),2),""),"")</f>
        <v>Задаем 60 сек</v>
      </c>
    </row>
    <row r="98" spans="1:9" x14ac:dyDescent="0.25">
      <c r="A98" s="32" t="s">
        <v>509</v>
      </c>
      <c r="B98" s="31" t="s">
        <v>200</v>
      </c>
      <c r="C98" s="31" t="s">
        <v>201</v>
      </c>
      <c r="D98" s="68" t="s">
        <v>510</v>
      </c>
      <c r="E98" s="68"/>
      <c r="F98" s="68"/>
      <c r="G98" s="68"/>
      <c r="H98" s="31" t="s">
        <v>203</v>
      </c>
      <c r="I98" t="str">
        <f>IFERROR(IF(TRIM(A98)&lt;&gt;"",INDEX('[1]6MD'!$A:$B,MATCH(A98,'[1]6MD'!$A:$A,0),2),""),"")</f>
        <v>Задаем минимум: 95% для версии 4.7, 92% для версии 4.8</v>
      </c>
    </row>
    <row r="99" spans="1:9" x14ac:dyDescent="0.25">
      <c r="A99" s="32" t="s">
        <v>511</v>
      </c>
      <c r="B99" s="31" t="s">
        <v>204</v>
      </c>
      <c r="C99" s="31" t="s">
        <v>201</v>
      </c>
      <c r="D99" s="68" t="s">
        <v>512</v>
      </c>
      <c r="E99" s="68"/>
      <c r="F99" s="68"/>
      <c r="G99" s="68"/>
      <c r="H99" s="31" t="s">
        <v>206</v>
      </c>
      <c r="I99" t="str">
        <f>IFERROR(IF(TRIM(A99)&lt;&gt;"",INDEX('[1]6MD'!$A:$B,MATCH(A99,'[1]6MD'!$A:$A,0),2),""),"")</f>
        <v>Задаем максимум: 105% для версии 4.7, 108% для версии 4.8</v>
      </c>
    </row>
    <row r="100" spans="1:9" x14ac:dyDescent="0.25">
      <c r="A100" s="69" t="s">
        <v>207</v>
      </c>
      <c r="B100" s="69"/>
      <c r="C100" s="69"/>
      <c r="D100" s="69"/>
      <c r="E100" s="69"/>
      <c r="F100" s="69"/>
      <c r="G100" s="69"/>
      <c r="H100" s="69"/>
      <c r="I100" t="str">
        <f>IFERROR(IF(TRIM(A100)&lt;&gt;"",INDEX('[1]6MD'!$A:$B,MATCH(A100,'[1]6MD'!$A:$A,0),2),""),"")</f>
        <v/>
      </c>
    </row>
    <row r="101" spans="1:9" x14ac:dyDescent="0.25">
      <c r="A101" s="70" t="s">
        <v>70</v>
      </c>
      <c r="B101" s="70" t="s">
        <v>71</v>
      </c>
      <c r="C101" s="77" t="s">
        <v>72</v>
      </c>
      <c r="D101" s="79" t="s">
        <v>73</v>
      </c>
      <c r="E101" s="80"/>
      <c r="F101" s="80"/>
      <c r="G101" s="81"/>
      <c r="H101" s="70" t="s">
        <v>74</v>
      </c>
      <c r="I101" t="str">
        <f>IFERROR(IF(TRIM(A101)&lt;&gt;"",INDEX('[1]6MD'!$A:$B,MATCH(A101,'[1]6MD'!$A:$A,0),2),""),"")</f>
        <v/>
      </c>
    </row>
    <row r="102" spans="1:9" x14ac:dyDescent="0.25">
      <c r="A102" s="70"/>
      <c r="B102" s="70"/>
      <c r="C102" s="78"/>
      <c r="D102" s="82"/>
      <c r="E102" s="83"/>
      <c r="F102" s="83"/>
      <c r="G102" s="84"/>
      <c r="H102" s="70"/>
      <c r="I102" t="str">
        <f>IFERROR(IF(TRIM(A102)&lt;&gt;"",INDEX('[1]6MD'!$A:$B,MATCH(A102,'[1]6MD'!$A:$A,0),2),""),"")</f>
        <v/>
      </c>
    </row>
    <row r="103" spans="1:9" x14ac:dyDescent="0.25">
      <c r="A103" s="32" t="s">
        <v>513</v>
      </c>
      <c r="B103" s="31" t="s">
        <v>208</v>
      </c>
      <c r="C103" s="31" t="s">
        <v>209</v>
      </c>
      <c r="D103" s="88" t="s">
        <v>514</v>
      </c>
      <c r="E103" s="88"/>
      <c r="F103" s="88"/>
      <c r="G103" s="88"/>
      <c r="H103" s="31" t="s">
        <v>210</v>
      </c>
      <c r="I103" t="str">
        <f>IFERROR(IF(TRIM(A103)&lt;&gt;"",INDEX('[1]6MD'!$A:$B,MATCH(A103,'[1]6MD'!$A:$A,0),2),""),"")</f>
        <v>СЭР; Для групп 1–5 задается в фазных величинах.</v>
      </c>
    </row>
    <row r="104" spans="1:9" x14ac:dyDescent="0.25">
      <c r="A104" s="32" t="s">
        <v>515</v>
      </c>
      <c r="B104" s="31" t="s">
        <v>211</v>
      </c>
      <c r="C104" s="31" t="s">
        <v>212</v>
      </c>
      <c r="D104" s="90" t="s">
        <v>516</v>
      </c>
      <c r="E104" s="90"/>
      <c r="F104" s="90"/>
      <c r="G104" s="90"/>
      <c r="H104" s="31" t="s">
        <v>213</v>
      </c>
      <c r="I104" t="str">
        <f>IFERROR(IF(TRIM(A104)&lt;&gt;"",INDEX('[1]6MD'!$A:$B,MATCH(A104,'[1]6MD'!$A:$A,0),2),""),"")</f>
        <v>СЭР</v>
      </c>
    </row>
    <row r="105" spans="1:9" x14ac:dyDescent="0.25">
      <c r="A105" s="69" t="s">
        <v>214</v>
      </c>
      <c r="B105" s="69"/>
      <c r="C105" s="69"/>
      <c r="D105" s="69"/>
      <c r="E105" s="69"/>
      <c r="F105" s="69"/>
      <c r="G105" s="69"/>
      <c r="H105" s="69"/>
      <c r="I105" t="str">
        <f>IFERROR(IF(TRIM(A105)&lt;&gt;"",INDEX('[1]6MD'!$A:$B,MATCH(A105,'[1]6MD'!$A:$A,0),2),""),"")</f>
        <v/>
      </c>
    </row>
    <row r="106" spans="1:9" x14ac:dyDescent="0.25">
      <c r="A106" s="70" t="s">
        <v>70</v>
      </c>
      <c r="B106" s="70" t="s">
        <v>71</v>
      </c>
      <c r="C106" s="77" t="s">
        <v>72</v>
      </c>
      <c r="D106" s="79" t="s">
        <v>73</v>
      </c>
      <c r="E106" s="80"/>
      <c r="F106" s="80"/>
      <c r="G106" s="81"/>
      <c r="H106" s="70" t="s">
        <v>74</v>
      </c>
      <c r="I106" t="str">
        <f>IFERROR(IF(TRIM(A106)&lt;&gt;"",INDEX('[1]6MD'!$A:$B,MATCH(A106,'[1]6MD'!$A:$A,0),2),""),"")</f>
        <v/>
      </c>
    </row>
    <row r="107" spans="1:9" x14ac:dyDescent="0.25">
      <c r="A107" s="70"/>
      <c r="B107" s="70"/>
      <c r="C107" s="78"/>
      <c r="D107" s="82"/>
      <c r="E107" s="83"/>
      <c r="F107" s="83"/>
      <c r="G107" s="84"/>
      <c r="H107" s="70"/>
      <c r="I107" t="str">
        <f>IFERROR(IF(TRIM(A107)&lt;&gt;"",INDEX('[1]6MD'!$A:$B,MATCH(A107,'[1]6MD'!$A:$A,0),2),""),"")</f>
        <v/>
      </c>
    </row>
    <row r="108" spans="1:9" x14ac:dyDescent="0.25">
      <c r="A108" s="32" t="s">
        <v>517</v>
      </c>
      <c r="B108" s="31" t="s">
        <v>215</v>
      </c>
      <c r="C108" s="31" t="s">
        <v>216</v>
      </c>
      <c r="D108" s="68" t="s">
        <v>518</v>
      </c>
      <c r="E108" s="68"/>
      <c r="F108" s="68"/>
      <c r="G108" s="68"/>
      <c r="H108" s="31" t="s">
        <v>218</v>
      </c>
      <c r="I108" t="str">
        <f>IFERROR(IF(TRIM(A108)&lt;&gt;"",INDEX('[1]6MD'!$A:$B,MATCH(A108,'[1]6MD'!$A:$A,0),2),""),"")</f>
        <v>СЭР, частота ниже которой работет ОС, выше которой работает УС</v>
      </c>
    </row>
    <row r="109" spans="1:9" ht="30" x14ac:dyDescent="0.25">
      <c r="A109" s="32" t="s">
        <v>519</v>
      </c>
      <c r="B109" s="31" t="s">
        <v>219</v>
      </c>
      <c r="C109" s="31" t="s">
        <v>209</v>
      </c>
      <c r="D109" s="88" t="s">
        <v>514</v>
      </c>
      <c r="E109" s="88"/>
      <c r="F109" s="88"/>
      <c r="G109" s="88"/>
      <c r="H109" s="31" t="s">
        <v>220</v>
      </c>
      <c r="I109" t="str">
        <f>IFERROR(IF(TRIM(A109)&lt;&gt;"",INDEX('[1]6MD'!$A:$B,MATCH(A109,'[1]6MD'!$A:$A,0),2),""),"")</f>
        <v>СЭР</v>
      </c>
    </row>
    <row r="110" spans="1:9" x14ac:dyDescent="0.25">
      <c r="A110" s="32" t="s">
        <v>520</v>
      </c>
      <c r="B110" s="31" t="s">
        <v>224</v>
      </c>
      <c r="C110" s="31" t="s">
        <v>221</v>
      </c>
      <c r="D110" s="68" t="s">
        <v>521</v>
      </c>
      <c r="E110" s="68"/>
      <c r="F110" s="68"/>
      <c r="G110" s="68"/>
      <c r="H110" s="31" t="s">
        <v>223</v>
      </c>
      <c r="I110" t="str">
        <f>IFERROR(IF(TRIM(A110)&lt;&gt;"",INDEX('[1]6MD'!$A:$B,MATCH(A110,'[1]6MD'!$A:$A,0),2),""),"")</f>
        <v>СЭР</v>
      </c>
    </row>
    <row r="111" spans="1:9" x14ac:dyDescent="0.25">
      <c r="A111" s="32" t="s">
        <v>522</v>
      </c>
      <c r="B111" s="31" t="s">
        <v>225</v>
      </c>
      <c r="C111" s="31" t="s">
        <v>226</v>
      </c>
      <c r="D111" s="68" t="s">
        <v>523</v>
      </c>
      <c r="E111" s="68"/>
      <c r="F111" s="68"/>
      <c r="G111" s="68"/>
      <c r="H111" s="31" t="s">
        <v>228</v>
      </c>
      <c r="I111" t="str">
        <f>IFERROR(IF(TRIM(A111)&lt;&gt;"",INDEX('[1]6MD'!$A:$B,MATCH(A111,'[1]6MD'!$A:$A,0),2),""),"")</f>
        <v>Задаем 0.3 сек</v>
      </c>
    </row>
    <row r="112" spans="1:9" ht="17.25" x14ac:dyDescent="0.25">
      <c r="A112" s="76" t="s">
        <v>229</v>
      </c>
      <c r="B112" s="76"/>
      <c r="C112" s="76"/>
      <c r="D112" s="76"/>
      <c r="E112" s="76"/>
      <c r="F112" s="76"/>
      <c r="G112" s="76"/>
      <c r="H112" s="76"/>
      <c r="I112" t="str">
        <f>IFERROR(IF(TRIM(A112)&lt;&gt;"",INDEX('[1]6MD'!$A:$B,MATCH(A112,'[1]6MD'!$A:$A,0),2),""),"")</f>
        <v/>
      </c>
    </row>
    <row r="113" spans="1:9" x14ac:dyDescent="0.25">
      <c r="A113" s="69" t="s">
        <v>167</v>
      </c>
      <c r="B113" s="69"/>
      <c r="C113" s="69"/>
      <c r="D113" s="69"/>
      <c r="E113" s="69"/>
      <c r="F113" s="69"/>
      <c r="G113" s="69"/>
      <c r="H113" s="69"/>
      <c r="I113" t="str">
        <f>IFERROR(IF(TRIM(A113)&lt;&gt;"",INDEX('[1]6MD'!$A:$B,MATCH(A113,'[1]6MD'!$A:$A,0),2),""),"")</f>
        <v/>
      </c>
    </row>
    <row r="114" spans="1:9" x14ac:dyDescent="0.25">
      <c r="A114" s="70" t="s">
        <v>70</v>
      </c>
      <c r="B114" s="70" t="s">
        <v>71</v>
      </c>
      <c r="C114" s="70" t="s">
        <v>72</v>
      </c>
      <c r="D114" s="70" t="s">
        <v>73</v>
      </c>
      <c r="E114" s="70"/>
      <c r="F114" s="70"/>
      <c r="G114" s="70"/>
      <c r="H114" s="70" t="s">
        <v>74</v>
      </c>
      <c r="I114" t="str">
        <f>IFERROR(IF(TRIM(A114)&lt;&gt;"",INDEX('[1]6MD'!$A:$B,MATCH(A114,'[1]6MD'!$A:$A,0),2),""),"")</f>
        <v/>
      </c>
    </row>
    <row r="115" spans="1:9" x14ac:dyDescent="0.25">
      <c r="A115" s="70"/>
      <c r="B115" s="70"/>
      <c r="C115" s="70"/>
      <c r="D115" s="70"/>
      <c r="E115" s="70"/>
      <c r="F115" s="70"/>
      <c r="G115" s="70"/>
      <c r="H115" s="70"/>
      <c r="I115" t="str">
        <f>IFERROR(IF(TRIM(A115)&lt;&gt;"",INDEX('[1]6MD'!$A:$B,MATCH(A115,'[1]6MD'!$A:$A,0),2),""),"")</f>
        <v/>
      </c>
    </row>
    <row r="116" spans="1:9" x14ac:dyDescent="0.25">
      <c r="A116" s="32" t="s">
        <v>230</v>
      </c>
      <c r="B116" s="31" t="s">
        <v>168</v>
      </c>
      <c r="C116" s="31" t="s">
        <v>169</v>
      </c>
      <c r="D116" s="68" t="s">
        <v>461</v>
      </c>
      <c r="E116" s="68"/>
      <c r="F116" s="68"/>
      <c r="G116" s="68"/>
      <c r="H116" s="31" t="s">
        <v>170</v>
      </c>
      <c r="I116" t="str">
        <f>IFERROR(IF(TRIM(A116)&lt;&gt;"",INDEX('[1]6MD'!$A:$B,MATCH(A116,'[1]6MD'!$A:$A,0),2),""),"")</f>
        <v>Под звездочку. Для учета в улавл. синхронизма чтобы в момент замыкания контактов выключателя напряжения двух частей совпадали бы по фазе. Этот параметр должен включать время включения выключателя, а также время пуска промежуточных реле, которые могут быть включены в цепь включения</v>
      </c>
    </row>
    <row r="117" spans="1:9" x14ac:dyDescent="0.25">
      <c r="A117" s="32" t="s">
        <v>231</v>
      </c>
      <c r="B117" s="31" t="s">
        <v>171</v>
      </c>
      <c r="C117" s="31" t="s">
        <v>172</v>
      </c>
      <c r="D117" s="68" t="s">
        <v>462</v>
      </c>
      <c r="E117" s="68"/>
      <c r="F117" s="68"/>
      <c r="G117" s="68"/>
      <c r="H117" s="31" t="s">
        <v>173</v>
      </c>
      <c r="I117" t="str">
        <f>IFERROR(IF(TRIM(A117)&lt;&gt;"",INDEX('[1]6MD'!$A:$B,MATCH(A117,'[1]6MD'!$A:$A,0),2),""),"")</f>
        <v>Под звездочку</v>
      </c>
    </row>
    <row r="118" spans="1:9" x14ac:dyDescent="0.25">
      <c r="A118" s="32" t="s">
        <v>232</v>
      </c>
      <c r="B118" s="31" t="s">
        <v>174</v>
      </c>
      <c r="C118" s="31" t="s">
        <v>175</v>
      </c>
      <c r="D118" s="68" t="s">
        <v>463</v>
      </c>
      <c r="E118" s="68"/>
      <c r="F118" s="68"/>
      <c r="G118" s="68"/>
      <c r="H118" s="31" t="s">
        <v>176</v>
      </c>
      <c r="I118" t="str">
        <f>IFERROR(IF(TRIM(A118)&lt;&gt;"",INDEX('[1]6MD'!$A:$B,MATCH(A118,'[1]6MD'!$A:$A,0),2),""),"")</f>
        <v>Под звездочку</v>
      </c>
    </row>
    <row r="119" spans="1:9" ht="30" x14ac:dyDescent="0.25">
      <c r="A119" s="32" t="s">
        <v>233</v>
      </c>
      <c r="B119" s="31" t="s">
        <v>177</v>
      </c>
      <c r="C119" s="31" t="s">
        <v>178</v>
      </c>
      <c r="D119" s="68" t="s">
        <v>459</v>
      </c>
      <c r="E119" s="68"/>
      <c r="F119" s="68"/>
      <c r="G119" s="68"/>
      <c r="H119" s="31" t="s">
        <v>477</v>
      </c>
      <c r="I119" t="str">
        <f>IFERROR(IF(TRIM(A119)&lt;&gt;"",INDEX('[1]6MD'!$A:$B,MATCH(A119,'[1]6MD'!$A:$A,0),2),""),"")</f>
        <v>Под звездочку. Вписать откуда подводится напряжение. Для групп синхронизации 6-8 задаем линейные напряжения (100В); для групп 1-5 задаем фазные (линейные/1.73=57.73)</v>
      </c>
    </row>
    <row r="120" spans="1:9" ht="30" x14ac:dyDescent="0.25">
      <c r="A120" s="32" t="s">
        <v>234</v>
      </c>
      <c r="B120" s="31" t="s">
        <v>179</v>
      </c>
      <c r="C120" s="31" t="s">
        <v>178</v>
      </c>
      <c r="D120" s="68" t="s">
        <v>459</v>
      </c>
      <c r="E120" s="68"/>
      <c r="F120" s="68"/>
      <c r="G120" s="68"/>
      <c r="H120" s="31" t="s">
        <v>478</v>
      </c>
      <c r="I120" t="str">
        <f>IFERROR(IF(TRIM(A120)&lt;&gt;"",INDEX('[1]6MD'!$A:$B,MATCH(A120,'[1]6MD'!$A:$A,0),2),""),"")</f>
        <v>Под звездочку. Вписать откуда подводится напряжение. Для групп синхронизации 6-8 задаем линейные напряжения (100В); для групп 1-5 задаем фазные (линейные/1.73=57.73)</v>
      </c>
    </row>
    <row r="121" spans="1:9" x14ac:dyDescent="0.25">
      <c r="A121" s="69" t="s">
        <v>75</v>
      </c>
      <c r="B121" s="69"/>
      <c r="C121" s="69"/>
      <c r="D121" s="69"/>
      <c r="E121" s="69"/>
      <c r="F121" s="69"/>
      <c r="G121" s="69"/>
      <c r="H121" s="69"/>
      <c r="I121" t="str">
        <f>IFERROR(IF(TRIM(A121)&lt;&gt;"",INDEX('[1]6MD'!$A:$B,MATCH(A121,'[1]6MD'!$A:$A,0),2),""),"")</f>
        <v/>
      </c>
    </row>
    <row r="122" spans="1:9" ht="15" customHeight="1" x14ac:dyDescent="0.25">
      <c r="A122" s="70" t="s">
        <v>70</v>
      </c>
      <c r="B122" s="70" t="s">
        <v>71</v>
      </c>
      <c r="C122" s="77" t="s">
        <v>72</v>
      </c>
      <c r="D122" s="79" t="s">
        <v>73</v>
      </c>
      <c r="E122" s="80"/>
      <c r="F122" s="80"/>
      <c r="G122" s="81"/>
      <c r="H122" s="70" t="s">
        <v>74</v>
      </c>
      <c r="I122" t="str">
        <f>IFERROR(IF(TRIM(A122)&lt;&gt;"",INDEX('[1]6MD'!$A:$B,MATCH(A122,'[1]6MD'!$A:$A,0),2),""),"")</f>
        <v/>
      </c>
    </row>
    <row r="123" spans="1:9" x14ac:dyDescent="0.25">
      <c r="A123" s="70"/>
      <c r="B123" s="70"/>
      <c r="C123" s="78"/>
      <c r="D123" s="82"/>
      <c r="E123" s="83"/>
      <c r="F123" s="83"/>
      <c r="G123" s="84"/>
      <c r="H123" s="70"/>
      <c r="I123" t="str">
        <f>IFERROR(IF(TRIM(A123)&lt;&gt;"",INDEX('[1]6MD'!$A:$B,MATCH(A123,'[1]6MD'!$A:$A,0),2),""),"")</f>
        <v/>
      </c>
    </row>
    <row r="124" spans="1:9" ht="45" x14ac:dyDescent="0.25">
      <c r="A124" s="32"/>
      <c r="B124" s="37" t="s">
        <v>464</v>
      </c>
      <c r="C124" s="31"/>
      <c r="D124" s="68" t="s">
        <v>465</v>
      </c>
      <c r="E124" s="68"/>
      <c r="F124" s="68"/>
      <c r="G124" s="68"/>
      <c r="H124" s="37" t="s">
        <v>464</v>
      </c>
      <c r="I124" t="str">
        <f>IFERROR(IF(TRIM(A124)&lt;&gt;"",INDEX('[1]6MD'!$A:$B,MATCH(A124,'[1]6MD'!$A:$A,0),2),""),"")</f>
        <v/>
      </c>
    </row>
    <row r="125" spans="1:9" x14ac:dyDescent="0.25">
      <c r="A125" s="32" t="s">
        <v>235</v>
      </c>
      <c r="B125" s="31" t="s">
        <v>180</v>
      </c>
      <c r="C125" s="31" t="s">
        <v>181</v>
      </c>
      <c r="D125" s="68" t="s">
        <v>524</v>
      </c>
      <c r="E125" s="68"/>
      <c r="F125" s="68"/>
      <c r="G125" s="68"/>
      <c r="H125" s="31" t="s">
        <v>182</v>
      </c>
      <c r="I125" t="str">
        <f>IFERROR(IF(TRIM(A125)&lt;&gt;"",INDEX('[1]6MD'!$A:$B,MATCH(A125,'[1]6MD'!$A:$A,0),2),""),"")</f>
        <v>СЭР; Для групп 6–8 задается в линейных величинах; "Вставить выше уставку "Синхронизируемый коммутационный аппарат", скопировать из конфига ВРУЧНУЮ!!!"</v>
      </c>
    </row>
    <row r="126" spans="1:9" x14ac:dyDescent="0.25">
      <c r="A126" s="32" t="s">
        <v>236</v>
      </c>
      <c r="B126" s="31" t="s">
        <v>183</v>
      </c>
      <c r="C126" s="31" t="s">
        <v>184</v>
      </c>
      <c r="D126" s="68" t="s">
        <v>525</v>
      </c>
      <c r="E126" s="68"/>
      <c r="F126" s="68"/>
      <c r="G126" s="68"/>
      <c r="H126" s="31" t="s">
        <v>185</v>
      </c>
      <c r="I126" t="str">
        <f>IFERROR(IF(TRIM(A126)&lt;&gt;"",INDEX('[1]6MD'!$A:$B,MATCH(A126,'[1]6MD'!$A:$A,0),2),""),"")</f>
        <v>СЭР; Для групп 6–5 задается в линейных величинах.</v>
      </c>
    </row>
    <row r="127" spans="1:9" x14ac:dyDescent="0.25">
      <c r="A127" s="32" t="s">
        <v>237</v>
      </c>
      <c r="B127" s="31" t="s">
        <v>186</v>
      </c>
      <c r="C127" s="31" t="s">
        <v>187</v>
      </c>
      <c r="D127" s="68" t="s">
        <v>526</v>
      </c>
      <c r="E127" s="68"/>
      <c r="F127" s="68"/>
      <c r="G127" s="68"/>
      <c r="H127" s="31" t="s">
        <v>188</v>
      </c>
      <c r="I127" t="str">
        <f>IFERROR(IF(TRIM(A127)&lt;&gt;"",INDEX('[1]6MD'!$A:$B,MATCH(A127,'[1]6MD'!$A:$A,0),2),""),"")</f>
        <v>50 В (мф); Для групп 1–5 задается в фазных величинах.</v>
      </c>
    </row>
    <row r="128" spans="1:9" ht="30" x14ac:dyDescent="0.25">
      <c r="A128" s="32" t="s">
        <v>238</v>
      </c>
      <c r="B128" s="31" t="s">
        <v>189</v>
      </c>
      <c r="C128" s="31" t="s">
        <v>190</v>
      </c>
      <c r="D128" s="68" t="s">
        <v>77</v>
      </c>
      <c r="E128" s="68"/>
      <c r="F128" s="68"/>
      <c r="G128" s="68"/>
      <c r="H128" s="31" t="s">
        <v>191</v>
      </c>
      <c r="I128" t="str">
        <f>IFERROR(IF(TRIM(A128)&lt;&gt;"",INDEX('[1]6MD'!$A:$B,MATCH(A128,'[1]6MD'!$A:$A,0),2),""),"")</f>
        <v>Контроль наличия U на шинах и отсутствия U на линии</v>
      </c>
    </row>
    <row r="129" spans="1:9" ht="30" x14ac:dyDescent="0.25">
      <c r="A129" s="32" t="s">
        <v>239</v>
      </c>
      <c r="B129" s="31" t="s">
        <v>192</v>
      </c>
      <c r="C129" s="31" t="s">
        <v>190</v>
      </c>
      <c r="D129" s="68" t="s">
        <v>77</v>
      </c>
      <c r="E129" s="68"/>
      <c r="F129" s="68"/>
      <c r="G129" s="68"/>
      <c r="H129" s="31" t="s">
        <v>193</v>
      </c>
      <c r="I129" t="str">
        <f>IFERROR(IF(TRIM(A129)&lt;&gt;"",INDEX('[1]6MD'!$A:$B,MATCH(A129,'[1]6MD'!$A:$A,0),2),""),"")</f>
        <v>Контроль отсутствия U на шинах и наличия U на линии</v>
      </c>
    </row>
    <row r="130" spans="1:9" ht="30" x14ac:dyDescent="0.25">
      <c r="A130" s="32" t="s">
        <v>240</v>
      </c>
      <c r="B130" s="31" t="s">
        <v>194</v>
      </c>
      <c r="C130" s="31" t="s">
        <v>190</v>
      </c>
      <c r="D130" s="68" t="s">
        <v>77</v>
      </c>
      <c r="E130" s="68"/>
      <c r="F130" s="68"/>
      <c r="G130" s="68"/>
      <c r="H130" s="31" t="s">
        <v>195</v>
      </c>
      <c r="I130" t="str">
        <f>IFERROR(IF(TRIM(A130)&lt;&gt;"",INDEX('[1]6MD'!$A:$B,MATCH(A130,'[1]6MD'!$A:$A,0),2),""),"")</f>
        <v>Контроль отсутствия U на шинах на линии</v>
      </c>
    </row>
    <row r="131" spans="1:9" x14ac:dyDescent="0.25">
      <c r="A131" s="32" t="s">
        <v>241</v>
      </c>
      <c r="B131" s="31" t="s">
        <v>196</v>
      </c>
      <c r="C131" s="31" t="s">
        <v>197</v>
      </c>
      <c r="D131" s="68" t="s">
        <v>198</v>
      </c>
      <c r="E131" s="68"/>
      <c r="F131" s="68"/>
      <c r="G131" s="68"/>
      <c r="H131" s="31" t="s">
        <v>199</v>
      </c>
      <c r="I131" t="str">
        <f>IFERROR(IF(TRIM(A131)&lt;&gt;"",INDEX('[1]6MD'!$A:$B,MATCH(A131,'[1]6MD'!$A:$A,0),2),""),"")</f>
        <v>Задаем 60 сек</v>
      </c>
    </row>
    <row r="132" spans="1:9" x14ac:dyDescent="0.25">
      <c r="A132" s="32" t="s">
        <v>242</v>
      </c>
      <c r="B132" s="31" t="s">
        <v>200</v>
      </c>
      <c r="C132" s="31" t="s">
        <v>201</v>
      </c>
      <c r="D132" s="68" t="s">
        <v>202</v>
      </c>
      <c r="E132" s="68"/>
      <c r="F132" s="68"/>
      <c r="G132" s="68"/>
      <c r="H132" s="31" t="s">
        <v>203</v>
      </c>
      <c r="I132" t="str">
        <f>IFERROR(IF(TRIM(A132)&lt;&gt;"",INDEX('[1]6MD'!$A:$B,MATCH(A132,'[1]6MD'!$A:$A,0),2),""),"")</f>
        <v>Задаем минимум: 95% для версии 4.7, 92% для версии 4.8</v>
      </c>
    </row>
    <row r="133" spans="1:9" x14ac:dyDescent="0.25">
      <c r="A133" s="32" t="s">
        <v>243</v>
      </c>
      <c r="B133" s="31" t="s">
        <v>204</v>
      </c>
      <c r="C133" s="31" t="s">
        <v>201</v>
      </c>
      <c r="D133" s="68" t="s">
        <v>205</v>
      </c>
      <c r="E133" s="68"/>
      <c r="F133" s="68"/>
      <c r="G133" s="68"/>
      <c r="H133" s="31" t="s">
        <v>206</v>
      </c>
      <c r="I133" t="str">
        <f>IFERROR(IF(TRIM(A133)&lt;&gt;"",INDEX('[1]6MD'!$A:$B,MATCH(A133,'[1]6MD'!$A:$A,0),2),""),"")</f>
        <v>Задаем максимум: 105% для версии 4.7, 108% для версии 4.8</v>
      </c>
    </row>
    <row r="134" spans="1:9" x14ac:dyDescent="0.25">
      <c r="A134" s="69" t="s">
        <v>207</v>
      </c>
      <c r="B134" s="69"/>
      <c r="C134" s="69"/>
      <c r="D134" s="69"/>
      <c r="E134" s="69"/>
      <c r="F134" s="69"/>
      <c r="G134" s="69"/>
      <c r="H134" s="69"/>
      <c r="I134" t="str">
        <f>IFERROR(IF(TRIM(A134)&lt;&gt;"",INDEX('[1]6MD'!$A:$B,MATCH(A134,'[1]6MD'!$A:$A,0),2),""),"")</f>
        <v/>
      </c>
    </row>
    <row r="135" spans="1:9" ht="15" customHeight="1" x14ac:dyDescent="0.25">
      <c r="A135" s="70" t="s">
        <v>70</v>
      </c>
      <c r="B135" s="70" t="s">
        <v>71</v>
      </c>
      <c r="C135" s="77" t="s">
        <v>72</v>
      </c>
      <c r="D135" s="79" t="s">
        <v>73</v>
      </c>
      <c r="E135" s="80"/>
      <c r="F135" s="80"/>
      <c r="G135" s="81"/>
      <c r="H135" s="70" t="s">
        <v>74</v>
      </c>
      <c r="I135" t="str">
        <f>IFERROR(IF(TRIM(A135)&lt;&gt;"",INDEX('[1]6MD'!$A:$B,MATCH(A135,'[1]6MD'!$A:$A,0),2),""),"")</f>
        <v/>
      </c>
    </row>
    <row r="136" spans="1:9" x14ac:dyDescent="0.25">
      <c r="A136" s="70"/>
      <c r="B136" s="70"/>
      <c r="C136" s="78"/>
      <c r="D136" s="82"/>
      <c r="E136" s="83"/>
      <c r="F136" s="83"/>
      <c r="G136" s="84"/>
      <c r="H136" s="70"/>
      <c r="I136" t="str">
        <f>IFERROR(IF(TRIM(A136)&lt;&gt;"",INDEX('[1]6MD'!$A:$B,MATCH(A136,'[1]6MD'!$A:$A,0),2),""),"")</f>
        <v/>
      </c>
    </row>
    <row r="137" spans="1:9" x14ac:dyDescent="0.25">
      <c r="A137" s="32" t="s">
        <v>244</v>
      </c>
      <c r="B137" s="31" t="s">
        <v>208</v>
      </c>
      <c r="C137" s="31" t="s">
        <v>209</v>
      </c>
      <c r="D137" s="88" t="s">
        <v>527</v>
      </c>
      <c r="E137" s="88"/>
      <c r="F137" s="88"/>
      <c r="G137" s="88"/>
      <c r="H137" s="31" t="s">
        <v>210</v>
      </c>
      <c r="I137" t="str">
        <f>IFERROR(IF(TRIM(A137)&lt;&gt;"",INDEX('[1]6MD'!$A:$B,MATCH(A137,'[1]6MD'!$A:$A,0),2),""),"")</f>
        <v>СЭР; Для групп 1–5 задается в фазных величинах.</v>
      </c>
    </row>
    <row r="138" spans="1:9" x14ac:dyDescent="0.25">
      <c r="A138" s="32" t="s">
        <v>245</v>
      </c>
      <c r="B138" s="31" t="s">
        <v>211</v>
      </c>
      <c r="C138" s="31" t="s">
        <v>212</v>
      </c>
      <c r="D138" s="90" t="s">
        <v>466</v>
      </c>
      <c r="E138" s="90"/>
      <c r="F138" s="90"/>
      <c r="G138" s="90"/>
      <c r="H138" s="31" t="s">
        <v>213</v>
      </c>
      <c r="I138" t="str">
        <f>IFERROR(IF(TRIM(A138)&lt;&gt;"",INDEX('[1]6MD'!$A:$B,MATCH(A138,'[1]6MD'!$A:$A,0),2),""),"")</f>
        <v>СЭР</v>
      </c>
    </row>
    <row r="139" spans="1:9" x14ac:dyDescent="0.25">
      <c r="A139" s="69" t="s">
        <v>214</v>
      </c>
      <c r="B139" s="69"/>
      <c r="C139" s="69"/>
      <c r="D139" s="69"/>
      <c r="E139" s="69"/>
      <c r="F139" s="69"/>
      <c r="G139" s="69"/>
      <c r="H139" s="69"/>
      <c r="I139" t="str">
        <f>IFERROR(IF(TRIM(A139)&lt;&gt;"",INDEX('[1]6MD'!$A:$B,MATCH(A139,'[1]6MD'!$A:$A,0),2),""),"")</f>
        <v/>
      </c>
    </row>
    <row r="140" spans="1:9" ht="15" customHeight="1" x14ac:dyDescent="0.25">
      <c r="A140" s="70" t="s">
        <v>70</v>
      </c>
      <c r="B140" s="70" t="s">
        <v>71</v>
      </c>
      <c r="C140" s="77" t="s">
        <v>72</v>
      </c>
      <c r="D140" s="79" t="s">
        <v>73</v>
      </c>
      <c r="E140" s="80"/>
      <c r="F140" s="80"/>
      <c r="G140" s="81"/>
      <c r="H140" s="70" t="s">
        <v>74</v>
      </c>
      <c r="I140" t="str">
        <f>IFERROR(IF(TRIM(A140)&lt;&gt;"",INDEX('[1]6MD'!$A:$B,MATCH(A140,'[1]6MD'!$A:$A,0),2),""),"")</f>
        <v/>
      </c>
    </row>
    <row r="141" spans="1:9" x14ac:dyDescent="0.25">
      <c r="A141" s="70"/>
      <c r="B141" s="70"/>
      <c r="C141" s="78"/>
      <c r="D141" s="82"/>
      <c r="E141" s="83"/>
      <c r="F141" s="83"/>
      <c r="G141" s="84"/>
      <c r="H141" s="70"/>
      <c r="I141" t="str">
        <f>IFERROR(IF(TRIM(A141)&lt;&gt;"",INDEX('[1]6MD'!$A:$B,MATCH(A141,'[1]6MD'!$A:$A,0),2),""),"")</f>
        <v/>
      </c>
    </row>
    <row r="142" spans="1:9" x14ac:dyDescent="0.25">
      <c r="A142" s="32" t="s">
        <v>246</v>
      </c>
      <c r="B142" s="31" t="s">
        <v>215</v>
      </c>
      <c r="C142" s="31" t="s">
        <v>216</v>
      </c>
      <c r="D142" s="68" t="s">
        <v>217</v>
      </c>
      <c r="E142" s="68"/>
      <c r="F142" s="68"/>
      <c r="G142" s="68"/>
      <c r="H142" s="31" t="s">
        <v>218</v>
      </c>
      <c r="I142" t="str">
        <f>IFERROR(IF(TRIM(A142)&lt;&gt;"",INDEX('[1]6MD'!$A:$B,MATCH(A142,'[1]6MD'!$A:$A,0),2),""),"")</f>
        <v>СЭР, частота ниже которой работет ОС, выше которой работает УС</v>
      </c>
    </row>
    <row r="143" spans="1:9" ht="30" x14ac:dyDescent="0.25">
      <c r="A143" s="32" t="s">
        <v>247</v>
      </c>
      <c r="B143" s="31" t="s">
        <v>219</v>
      </c>
      <c r="C143" s="31" t="s">
        <v>209</v>
      </c>
      <c r="D143" s="88" t="s">
        <v>527</v>
      </c>
      <c r="E143" s="88"/>
      <c r="F143" s="88"/>
      <c r="G143" s="88"/>
      <c r="H143" s="31" t="s">
        <v>220</v>
      </c>
      <c r="I143" t="str">
        <f>IFERROR(IF(TRIM(A143)&lt;&gt;"",INDEX('[1]6MD'!$A:$B,MATCH(A143,'[1]6MD'!$A:$A,0),2),""),"")</f>
        <v>СЭР</v>
      </c>
    </row>
    <row r="144" spans="1:9" x14ac:dyDescent="0.25">
      <c r="A144" s="32" t="s">
        <v>248</v>
      </c>
      <c r="B144" s="31" t="s">
        <v>224</v>
      </c>
      <c r="C144" s="31" t="s">
        <v>221</v>
      </c>
      <c r="D144" s="68" t="s">
        <v>222</v>
      </c>
      <c r="E144" s="68"/>
      <c r="F144" s="68"/>
      <c r="G144" s="68"/>
      <c r="H144" s="31" t="s">
        <v>223</v>
      </c>
      <c r="I144" t="str">
        <f>IFERROR(IF(TRIM(A144)&lt;&gt;"",INDEX('[1]6MD'!$A:$B,MATCH(A144,'[1]6MD'!$A:$A,0),2),""),"")</f>
        <v>СЭР</v>
      </c>
    </row>
    <row r="145" spans="1:9" x14ac:dyDescent="0.25">
      <c r="A145" s="32" t="s">
        <v>249</v>
      </c>
      <c r="B145" s="31" t="s">
        <v>225</v>
      </c>
      <c r="C145" s="31" t="s">
        <v>226</v>
      </c>
      <c r="D145" s="68" t="s">
        <v>227</v>
      </c>
      <c r="E145" s="68"/>
      <c r="F145" s="68"/>
      <c r="G145" s="68"/>
      <c r="H145" s="31" t="s">
        <v>228</v>
      </c>
      <c r="I145" t="str">
        <f>IFERROR(IF(TRIM(A145)&lt;&gt;"",INDEX('[1]6MD'!$A:$B,MATCH(A145,'[1]6MD'!$A:$A,0),2),""),"")</f>
        <v>Задаем 0.3 сек</v>
      </c>
    </row>
    <row r="146" spans="1:9" ht="17.25" x14ac:dyDescent="0.25">
      <c r="A146" s="76" t="s">
        <v>250</v>
      </c>
      <c r="B146" s="76"/>
      <c r="C146" s="76"/>
      <c r="D146" s="76"/>
      <c r="E146" s="76"/>
      <c r="F146" s="76"/>
      <c r="G146" s="76"/>
      <c r="H146" s="76"/>
      <c r="I146" t="str">
        <f>IFERROR(IF(TRIM(A146)&lt;&gt;"",INDEX('[1]6MD'!$A:$B,MATCH(A146,'[1]6MD'!$A:$A,0),2),""),"")</f>
        <v/>
      </c>
    </row>
    <row r="147" spans="1:9" x14ac:dyDescent="0.25">
      <c r="A147" s="69" t="s">
        <v>167</v>
      </c>
      <c r="B147" s="69"/>
      <c r="C147" s="69"/>
      <c r="D147" s="69"/>
      <c r="E147" s="69"/>
      <c r="F147" s="69"/>
      <c r="G147" s="69"/>
      <c r="H147" s="69"/>
      <c r="I147" t="str">
        <f>IFERROR(IF(TRIM(A147)&lt;&gt;"",INDEX('[1]6MD'!$A:$B,MATCH(A147,'[1]6MD'!$A:$A,0),2),""),"")</f>
        <v/>
      </c>
    </row>
    <row r="148" spans="1:9" x14ac:dyDescent="0.25">
      <c r="A148" s="70" t="s">
        <v>70</v>
      </c>
      <c r="B148" s="70" t="s">
        <v>71</v>
      </c>
      <c r="C148" s="70" t="s">
        <v>72</v>
      </c>
      <c r="D148" s="70" t="s">
        <v>73</v>
      </c>
      <c r="E148" s="70"/>
      <c r="F148" s="70"/>
      <c r="G148" s="70"/>
      <c r="H148" s="70" t="s">
        <v>74</v>
      </c>
      <c r="I148" t="str">
        <f>IFERROR(IF(TRIM(A148)&lt;&gt;"",INDEX('[1]6MD'!$A:$B,MATCH(A148,'[1]6MD'!$A:$A,0),2),""),"")</f>
        <v/>
      </c>
    </row>
    <row r="149" spans="1:9" x14ac:dyDescent="0.25">
      <c r="A149" s="70"/>
      <c r="B149" s="70"/>
      <c r="C149" s="70"/>
      <c r="D149" s="70"/>
      <c r="E149" s="70"/>
      <c r="F149" s="70"/>
      <c r="G149" s="70"/>
      <c r="H149" s="70"/>
      <c r="I149" t="str">
        <f>IFERROR(IF(TRIM(A149)&lt;&gt;"",INDEX('[1]6MD'!$A:$B,MATCH(A149,'[1]6MD'!$A:$A,0),2),""),"")</f>
        <v/>
      </c>
    </row>
    <row r="150" spans="1:9" x14ac:dyDescent="0.25">
      <c r="A150" s="32" t="s">
        <v>251</v>
      </c>
      <c r="B150" s="31" t="s">
        <v>168</v>
      </c>
      <c r="C150" s="31" t="s">
        <v>169</v>
      </c>
      <c r="D150" s="68" t="s">
        <v>461</v>
      </c>
      <c r="E150" s="68"/>
      <c r="F150" s="68"/>
      <c r="G150" s="68"/>
      <c r="H150" s="31" t="s">
        <v>170</v>
      </c>
      <c r="I150" t="str">
        <f>IFERROR(IF(TRIM(A150)&lt;&gt;"",INDEX('[1]6MD'!$A:$B,MATCH(A150,'[1]6MD'!$A:$A,0),2),""),"")</f>
        <v>Под звездочку. Для учета в улавл. синхронизма чтобы в момент замыкания контактов выключателя напряжения двух частей совпадали бы по фазе. Этот параметр должен включать время включения выключателя, а также время пуска промежуточных реле, которые могут быть включены в цепь включения</v>
      </c>
    </row>
    <row r="151" spans="1:9" x14ac:dyDescent="0.25">
      <c r="A151" s="32" t="s">
        <v>252</v>
      </c>
      <c r="B151" s="31" t="s">
        <v>171</v>
      </c>
      <c r="C151" s="31" t="s">
        <v>172</v>
      </c>
      <c r="D151" s="68" t="s">
        <v>462</v>
      </c>
      <c r="E151" s="68"/>
      <c r="F151" s="68"/>
      <c r="G151" s="68"/>
      <c r="H151" s="31" t="s">
        <v>173</v>
      </c>
      <c r="I151" t="str">
        <f>IFERROR(IF(TRIM(A151)&lt;&gt;"",INDEX('[1]6MD'!$A:$B,MATCH(A151,'[1]6MD'!$A:$A,0),2),""),"")</f>
        <v>Под звездочку</v>
      </c>
    </row>
    <row r="152" spans="1:9" x14ac:dyDescent="0.25">
      <c r="A152" s="32" t="s">
        <v>253</v>
      </c>
      <c r="B152" s="31" t="s">
        <v>174</v>
      </c>
      <c r="C152" s="31" t="s">
        <v>175</v>
      </c>
      <c r="D152" s="68" t="s">
        <v>463</v>
      </c>
      <c r="E152" s="68"/>
      <c r="F152" s="68"/>
      <c r="G152" s="68"/>
      <c r="H152" s="31" t="s">
        <v>176</v>
      </c>
      <c r="I152" t="str">
        <f>IFERROR(IF(TRIM(A152)&lt;&gt;"",INDEX('[1]6MD'!$A:$B,MATCH(A152,'[1]6MD'!$A:$A,0),2),""),"")</f>
        <v>Под звездочку</v>
      </c>
    </row>
    <row r="153" spans="1:9" ht="30" x14ac:dyDescent="0.25">
      <c r="A153" s="32" t="s">
        <v>254</v>
      </c>
      <c r="B153" s="31" t="s">
        <v>177</v>
      </c>
      <c r="C153" s="31" t="s">
        <v>178</v>
      </c>
      <c r="D153" s="68" t="s">
        <v>459</v>
      </c>
      <c r="E153" s="68"/>
      <c r="F153" s="68"/>
      <c r="G153" s="68"/>
      <c r="H153" s="31" t="s">
        <v>477</v>
      </c>
      <c r="I153" t="str">
        <f>IFERROR(IF(TRIM(A153)&lt;&gt;"",INDEX('[1]6MD'!$A:$B,MATCH(A153,'[1]6MD'!$A:$A,0),2),""),"")</f>
        <v>Под звездочку. Вписать откуда подводится напряжение. Для групп синхронизации 6-8 задаем линейные напряжения (100В); для групп 1-5 задаем фазные (линейные/1.73=57.73)</v>
      </c>
    </row>
    <row r="154" spans="1:9" ht="30" x14ac:dyDescent="0.25">
      <c r="A154" s="32" t="s">
        <v>255</v>
      </c>
      <c r="B154" s="31" t="s">
        <v>179</v>
      </c>
      <c r="C154" s="31" t="s">
        <v>178</v>
      </c>
      <c r="D154" s="68" t="s">
        <v>459</v>
      </c>
      <c r="E154" s="68"/>
      <c r="F154" s="68"/>
      <c r="G154" s="68"/>
      <c r="H154" s="31" t="s">
        <v>478</v>
      </c>
      <c r="I154" t="str">
        <f>IFERROR(IF(TRIM(A154)&lt;&gt;"",INDEX('[1]6MD'!$A:$B,MATCH(A154,'[1]6MD'!$A:$A,0),2),""),"")</f>
        <v>Под звездочку. Вписать откуда подводится напряжение. Для групп синхронизации 6-8 задаем линейные напряжения (100В); для групп 1-5 задаем фазные (линейные/1.73=57.73)</v>
      </c>
    </row>
    <row r="155" spans="1:9" x14ac:dyDescent="0.25">
      <c r="A155" s="69" t="s">
        <v>75</v>
      </c>
      <c r="B155" s="69"/>
      <c r="C155" s="69"/>
      <c r="D155" s="69"/>
      <c r="E155" s="69"/>
      <c r="F155" s="69"/>
      <c r="G155" s="69"/>
      <c r="H155" s="69"/>
      <c r="I155" t="str">
        <f>IFERROR(IF(TRIM(A155)&lt;&gt;"",INDEX('[1]6MD'!$A:$B,MATCH(A155,'[1]6MD'!$A:$A,0),2),""),"")</f>
        <v/>
      </c>
    </row>
    <row r="156" spans="1:9" ht="15" customHeight="1" x14ac:dyDescent="0.25">
      <c r="A156" s="70" t="s">
        <v>70</v>
      </c>
      <c r="B156" s="70" t="s">
        <v>71</v>
      </c>
      <c r="C156" s="77" t="s">
        <v>72</v>
      </c>
      <c r="D156" s="79" t="s">
        <v>73</v>
      </c>
      <c r="E156" s="80"/>
      <c r="F156" s="80"/>
      <c r="G156" s="81"/>
      <c r="H156" s="70" t="s">
        <v>74</v>
      </c>
      <c r="I156" t="str">
        <f>IFERROR(IF(TRIM(A156)&lt;&gt;"",INDEX('[1]6MD'!$A:$B,MATCH(A156,'[1]6MD'!$A:$A,0),2),""),"")</f>
        <v/>
      </c>
    </row>
    <row r="157" spans="1:9" x14ac:dyDescent="0.25">
      <c r="A157" s="70"/>
      <c r="B157" s="70"/>
      <c r="C157" s="78"/>
      <c r="D157" s="82"/>
      <c r="E157" s="83"/>
      <c r="F157" s="83"/>
      <c r="G157" s="84"/>
      <c r="H157" s="70"/>
      <c r="I157" t="str">
        <f>IFERROR(IF(TRIM(A157)&lt;&gt;"",INDEX('[1]6MD'!$A:$B,MATCH(A157,'[1]6MD'!$A:$A,0),2),""),"")</f>
        <v/>
      </c>
    </row>
    <row r="158" spans="1:9" ht="45" x14ac:dyDescent="0.25">
      <c r="A158" s="32"/>
      <c r="B158" s="37" t="s">
        <v>464</v>
      </c>
      <c r="C158" s="31"/>
      <c r="D158" s="68" t="s">
        <v>467</v>
      </c>
      <c r="E158" s="68"/>
      <c r="F158" s="68"/>
      <c r="G158" s="68"/>
      <c r="H158" s="37" t="s">
        <v>464</v>
      </c>
      <c r="I158" t="str">
        <f>IFERROR(IF(TRIM(A158)&lt;&gt;"",INDEX('[1]6MD'!$A:$B,MATCH(A158,'[1]6MD'!$A:$A,0),2),""),"")</f>
        <v/>
      </c>
    </row>
    <row r="159" spans="1:9" x14ac:dyDescent="0.25">
      <c r="A159" s="32" t="s">
        <v>256</v>
      </c>
      <c r="B159" s="31" t="s">
        <v>180</v>
      </c>
      <c r="C159" s="31" t="s">
        <v>181</v>
      </c>
      <c r="D159" s="68" t="s">
        <v>524</v>
      </c>
      <c r="E159" s="68"/>
      <c r="F159" s="68"/>
      <c r="G159" s="68"/>
      <c r="H159" s="31" t="s">
        <v>182</v>
      </c>
      <c r="I159" t="str">
        <f>IFERROR(IF(TRIM(A159)&lt;&gt;"",INDEX('[1]6MD'!$A:$B,MATCH(A159,'[1]6MD'!$A:$A,0),2),""),"")</f>
        <v>СЭР; Для групп 6–8 задается в линейных величинах; "Вставить выше уставку "Синхронизируемый коммутационный аппарат", скопировать из конфига ВРУЧНУЮ!!!"</v>
      </c>
    </row>
    <row r="160" spans="1:9" x14ac:dyDescent="0.25">
      <c r="A160" s="32" t="s">
        <v>257</v>
      </c>
      <c r="B160" s="31" t="s">
        <v>183</v>
      </c>
      <c r="C160" s="31" t="s">
        <v>184</v>
      </c>
      <c r="D160" s="68" t="s">
        <v>525</v>
      </c>
      <c r="E160" s="68"/>
      <c r="F160" s="68"/>
      <c r="G160" s="68"/>
      <c r="H160" s="31" t="s">
        <v>185</v>
      </c>
      <c r="I160" t="str">
        <f>IFERROR(IF(TRIM(A160)&lt;&gt;"",INDEX('[1]6MD'!$A:$B,MATCH(A160,'[1]6MD'!$A:$A,0),2),""),"")</f>
        <v>СЭР; Для групп 6–5 задается в линейных величинах.</v>
      </c>
    </row>
    <row r="161" spans="1:9" x14ac:dyDescent="0.25">
      <c r="A161" s="32" t="s">
        <v>258</v>
      </c>
      <c r="B161" s="31" t="s">
        <v>186</v>
      </c>
      <c r="C161" s="31" t="s">
        <v>187</v>
      </c>
      <c r="D161" s="68" t="s">
        <v>526</v>
      </c>
      <c r="E161" s="68"/>
      <c r="F161" s="68"/>
      <c r="G161" s="68"/>
      <c r="H161" s="31" t="s">
        <v>188</v>
      </c>
      <c r="I161" t="str">
        <f>IFERROR(IF(TRIM(A161)&lt;&gt;"",INDEX('[1]6MD'!$A:$B,MATCH(A161,'[1]6MD'!$A:$A,0),2),""),"")</f>
        <v>50 В (мф); Для групп 1–5 задается в фазных величинах.</v>
      </c>
    </row>
    <row r="162" spans="1:9" ht="30" x14ac:dyDescent="0.25">
      <c r="A162" s="32" t="s">
        <v>259</v>
      </c>
      <c r="B162" s="31" t="s">
        <v>189</v>
      </c>
      <c r="C162" s="31" t="s">
        <v>190</v>
      </c>
      <c r="D162" s="68" t="s">
        <v>260</v>
      </c>
      <c r="E162" s="68"/>
      <c r="F162" s="68"/>
      <c r="G162" s="68"/>
      <c r="H162" s="31" t="s">
        <v>191</v>
      </c>
      <c r="I162" t="str">
        <f>IFERROR(IF(TRIM(A162)&lt;&gt;"",INDEX('[1]6MD'!$A:$B,MATCH(A162,'[1]6MD'!$A:$A,0),2),""),"")</f>
        <v>Контроль наличия U на шинах и отсутствия U на линии</v>
      </c>
    </row>
    <row r="163" spans="1:9" ht="30" x14ac:dyDescent="0.25">
      <c r="A163" s="32" t="s">
        <v>261</v>
      </c>
      <c r="B163" s="31" t="s">
        <v>192</v>
      </c>
      <c r="C163" s="31" t="s">
        <v>190</v>
      </c>
      <c r="D163" s="68" t="s">
        <v>260</v>
      </c>
      <c r="E163" s="68"/>
      <c r="F163" s="68"/>
      <c r="G163" s="68"/>
      <c r="H163" s="31" t="s">
        <v>193</v>
      </c>
      <c r="I163" t="str">
        <f>IFERROR(IF(TRIM(A163)&lt;&gt;"",INDEX('[1]6MD'!$A:$B,MATCH(A163,'[1]6MD'!$A:$A,0),2),""),"")</f>
        <v>Контроль отсутствия U на шинах и наличия U на линии</v>
      </c>
    </row>
    <row r="164" spans="1:9" ht="30" x14ac:dyDescent="0.25">
      <c r="A164" s="32" t="s">
        <v>262</v>
      </c>
      <c r="B164" s="31" t="s">
        <v>194</v>
      </c>
      <c r="C164" s="31" t="s">
        <v>190</v>
      </c>
      <c r="D164" s="68" t="s">
        <v>260</v>
      </c>
      <c r="E164" s="68"/>
      <c r="F164" s="68"/>
      <c r="G164" s="68"/>
      <c r="H164" s="31" t="s">
        <v>195</v>
      </c>
      <c r="I164" t="str">
        <f>IFERROR(IF(TRIM(A164)&lt;&gt;"",INDEX('[1]6MD'!$A:$B,MATCH(A164,'[1]6MD'!$A:$A,0),2),""),"")</f>
        <v>Контроль отсутствия U на шинах на линии</v>
      </c>
    </row>
    <row r="165" spans="1:9" x14ac:dyDescent="0.25">
      <c r="A165" s="32" t="s">
        <v>263</v>
      </c>
      <c r="B165" s="31" t="s">
        <v>196</v>
      </c>
      <c r="C165" s="31" t="s">
        <v>197</v>
      </c>
      <c r="D165" s="68" t="s">
        <v>198</v>
      </c>
      <c r="E165" s="68"/>
      <c r="F165" s="68"/>
      <c r="G165" s="68"/>
      <c r="H165" s="31" t="s">
        <v>199</v>
      </c>
      <c r="I165" t="str">
        <f>IFERROR(IF(TRIM(A165)&lt;&gt;"",INDEX('[1]6MD'!$A:$B,MATCH(A165,'[1]6MD'!$A:$A,0),2),""),"")</f>
        <v>Задаем 60 сек</v>
      </c>
    </row>
    <row r="166" spans="1:9" x14ac:dyDescent="0.25">
      <c r="A166" s="32" t="s">
        <v>264</v>
      </c>
      <c r="B166" s="31" t="s">
        <v>200</v>
      </c>
      <c r="C166" s="31" t="s">
        <v>201</v>
      </c>
      <c r="D166" s="68" t="s">
        <v>202</v>
      </c>
      <c r="E166" s="68"/>
      <c r="F166" s="68"/>
      <c r="G166" s="68"/>
      <c r="H166" s="31" t="s">
        <v>203</v>
      </c>
      <c r="I166" t="str">
        <f>IFERROR(IF(TRIM(A166)&lt;&gt;"",INDEX('[1]6MD'!$A:$B,MATCH(A166,'[1]6MD'!$A:$A,0),2),""),"")</f>
        <v>Задаем минимум: 95% для версии 4.7, 92% для версии 4.8</v>
      </c>
    </row>
    <row r="167" spans="1:9" x14ac:dyDescent="0.25">
      <c r="A167" s="32" t="s">
        <v>265</v>
      </c>
      <c r="B167" s="31" t="s">
        <v>204</v>
      </c>
      <c r="C167" s="31" t="s">
        <v>201</v>
      </c>
      <c r="D167" s="68" t="s">
        <v>205</v>
      </c>
      <c r="E167" s="68"/>
      <c r="F167" s="68"/>
      <c r="G167" s="68"/>
      <c r="H167" s="31" t="s">
        <v>206</v>
      </c>
      <c r="I167" t="str">
        <f>IFERROR(IF(TRIM(A167)&lt;&gt;"",INDEX('[1]6MD'!$A:$B,MATCH(A167,'[1]6MD'!$A:$A,0),2),""),"")</f>
        <v>Задаем максимум: 105% для версии 4.7, 108% для версии 4.8</v>
      </c>
    </row>
    <row r="168" spans="1:9" x14ac:dyDescent="0.25">
      <c r="A168" s="69" t="s">
        <v>207</v>
      </c>
      <c r="B168" s="69"/>
      <c r="C168" s="69"/>
      <c r="D168" s="69"/>
      <c r="E168" s="69"/>
      <c r="F168" s="69"/>
      <c r="G168" s="69"/>
      <c r="H168" s="69"/>
      <c r="I168" t="str">
        <f>IFERROR(IF(TRIM(A168)&lt;&gt;"",INDEX('[1]6MD'!$A:$B,MATCH(A168,'[1]6MD'!$A:$A,0),2),""),"")</f>
        <v/>
      </c>
    </row>
    <row r="169" spans="1:9" ht="15" customHeight="1" x14ac:dyDescent="0.25">
      <c r="A169" s="70" t="s">
        <v>70</v>
      </c>
      <c r="B169" s="70" t="s">
        <v>71</v>
      </c>
      <c r="C169" s="77" t="s">
        <v>72</v>
      </c>
      <c r="D169" s="79" t="s">
        <v>73</v>
      </c>
      <c r="E169" s="80"/>
      <c r="F169" s="80"/>
      <c r="G169" s="81"/>
      <c r="H169" s="70" t="s">
        <v>74</v>
      </c>
      <c r="I169" t="str">
        <f>IFERROR(IF(TRIM(A169)&lt;&gt;"",INDEX('[1]6MD'!$A:$B,MATCH(A169,'[1]6MD'!$A:$A,0),2),""),"")</f>
        <v/>
      </c>
    </row>
    <row r="170" spans="1:9" x14ac:dyDescent="0.25">
      <c r="A170" s="70"/>
      <c r="B170" s="70"/>
      <c r="C170" s="78"/>
      <c r="D170" s="82"/>
      <c r="E170" s="83"/>
      <c r="F170" s="83"/>
      <c r="G170" s="84"/>
      <c r="H170" s="70"/>
      <c r="I170" t="str">
        <f>IFERROR(IF(TRIM(A170)&lt;&gt;"",INDEX('[1]6MD'!$A:$B,MATCH(A170,'[1]6MD'!$A:$A,0),2),""),"")</f>
        <v/>
      </c>
    </row>
    <row r="171" spans="1:9" x14ac:dyDescent="0.25">
      <c r="A171" s="32" t="s">
        <v>266</v>
      </c>
      <c r="B171" s="31" t="s">
        <v>208</v>
      </c>
      <c r="C171" s="31" t="s">
        <v>209</v>
      </c>
      <c r="D171" s="88" t="s">
        <v>527</v>
      </c>
      <c r="E171" s="88"/>
      <c r="F171" s="88"/>
      <c r="G171" s="88"/>
      <c r="H171" s="31" t="s">
        <v>210</v>
      </c>
      <c r="I171" t="str">
        <f>IFERROR(IF(TRIM(A171)&lt;&gt;"",INDEX('[1]6MD'!$A:$B,MATCH(A171,'[1]6MD'!$A:$A,0),2),""),"")</f>
        <v>СЭР; Для групп 1–5 задается в фазных величинах.</v>
      </c>
    </row>
    <row r="172" spans="1:9" x14ac:dyDescent="0.25">
      <c r="A172" s="32" t="s">
        <v>267</v>
      </c>
      <c r="B172" s="31" t="s">
        <v>211</v>
      </c>
      <c r="C172" s="31" t="s">
        <v>212</v>
      </c>
      <c r="D172" s="89" t="s">
        <v>466</v>
      </c>
      <c r="E172" s="89"/>
      <c r="F172" s="89"/>
      <c r="G172" s="89"/>
      <c r="H172" s="31" t="s">
        <v>213</v>
      </c>
      <c r="I172" t="str">
        <f>IFERROR(IF(TRIM(A172)&lt;&gt;"",INDEX('[1]6MD'!$A:$B,MATCH(A172,'[1]6MD'!$A:$A,0),2),""),"")</f>
        <v>СЭР</v>
      </c>
    </row>
    <row r="173" spans="1:9" x14ac:dyDescent="0.25">
      <c r="A173" s="69" t="s">
        <v>214</v>
      </c>
      <c r="B173" s="69"/>
      <c r="C173" s="69"/>
      <c r="D173" s="69"/>
      <c r="E173" s="69"/>
      <c r="F173" s="69"/>
      <c r="G173" s="69"/>
      <c r="H173" s="69"/>
      <c r="I173" t="str">
        <f>IFERROR(IF(TRIM(A173)&lt;&gt;"",INDEX('[1]6MD'!$A:$B,MATCH(A173,'[1]6MD'!$A:$A,0),2),""),"")</f>
        <v/>
      </c>
    </row>
    <row r="174" spans="1:9" ht="15" customHeight="1" x14ac:dyDescent="0.25">
      <c r="A174" s="70" t="s">
        <v>70</v>
      </c>
      <c r="B174" s="70" t="s">
        <v>71</v>
      </c>
      <c r="C174" s="77" t="s">
        <v>72</v>
      </c>
      <c r="D174" s="79" t="s">
        <v>73</v>
      </c>
      <c r="E174" s="80"/>
      <c r="F174" s="80"/>
      <c r="G174" s="81"/>
      <c r="H174" s="70" t="s">
        <v>74</v>
      </c>
      <c r="I174" t="str">
        <f>IFERROR(IF(TRIM(A174)&lt;&gt;"",INDEX('[1]6MD'!$A:$B,MATCH(A174,'[1]6MD'!$A:$A,0),2),""),"")</f>
        <v/>
      </c>
    </row>
    <row r="175" spans="1:9" x14ac:dyDescent="0.25">
      <c r="A175" s="70"/>
      <c r="B175" s="70"/>
      <c r="C175" s="78"/>
      <c r="D175" s="82"/>
      <c r="E175" s="83"/>
      <c r="F175" s="83"/>
      <c r="G175" s="84"/>
      <c r="H175" s="70"/>
      <c r="I175" t="str">
        <f>IFERROR(IF(TRIM(A175)&lt;&gt;"",INDEX('[1]6MD'!$A:$B,MATCH(A175,'[1]6MD'!$A:$A,0),2),""),"")</f>
        <v/>
      </c>
    </row>
    <row r="176" spans="1:9" x14ac:dyDescent="0.25">
      <c r="A176" s="32" t="s">
        <v>268</v>
      </c>
      <c r="B176" s="31" t="s">
        <v>215</v>
      </c>
      <c r="C176" s="31" t="s">
        <v>216</v>
      </c>
      <c r="D176" s="68" t="s">
        <v>217</v>
      </c>
      <c r="E176" s="68"/>
      <c r="F176" s="68"/>
      <c r="G176" s="68"/>
      <c r="H176" s="31" t="s">
        <v>218</v>
      </c>
      <c r="I176" t="str">
        <f>IFERROR(IF(TRIM(A176)&lt;&gt;"",INDEX('[1]6MD'!$A:$B,MATCH(A176,'[1]6MD'!$A:$A,0),2),""),"")</f>
        <v>СЭР, частота ниже которой работет ОС, выше которой работает УС</v>
      </c>
    </row>
    <row r="177" spans="1:9" ht="30" x14ac:dyDescent="0.25">
      <c r="A177" s="32" t="s">
        <v>269</v>
      </c>
      <c r="B177" s="31" t="s">
        <v>219</v>
      </c>
      <c r="C177" s="31" t="s">
        <v>209</v>
      </c>
      <c r="D177" s="88" t="s">
        <v>527</v>
      </c>
      <c r="E177" s="88"/>
      <c r="F177" s="88"/>
      <c r="G177" s="88"/>
      <c r="H177" s="31" t="s">
        <v>220</v>
      </c>
      <c r="I177" t="str">
        <f>IFERROR(IF(TRIM(A177)&lt;&gt;"",INDEX('[1]6MD'!$A:$B,MATCH(A177,'[1]6MD'!$A:$A,0),2),""),"")</f>
        <v>СЭР</v>
      </c>
    </row>
    <row r="178" spans="1:9" x14ac:dyDescent="0.25">
      <c r="A178" s="32" t="s">
        <v>270</v>
      </c>
      <c r="B178" s="31" t="s">
        <v>224</v>
      </c>
      <c r="C178" s="31" t="s">
        <v>221</v>
      </c>
      <c r="D178" s="68" t="s">
        <v>222</v>
      </c>
      <c r="E178" s="68"/>
      <c r="F178" s="68"/>
      <c r="G178" s="68"/>
      <c r="H178" s="31" t="s">
        <v>223</v>
      </c>
      <c r="I178" t="str">
        <f>IFERROR(IF(TRIM(A178)&lt;&gt;"",INDEX('[1]6MD'!$A:$B,MATCH(A178,'[1]6MD'!$A:$A,0),2),""),"")</f>
        <v>СЭР</v>
      </c>
    </row>
    <row r="179" spans="1:9" x14ac:dyDescent="0.25">
      <c r="A179" s="32" t="s">
        <v>271</v>
      </c>
      <c r="B179" s="31" t="s">
        <v>225</v>
      </c>
      <c r="C179" s="31" t="s">
        <v>226</v>
      </c>
      <c r="D179" s="68" t="s">
        <v>227</v>
      </c>
      <c r="E179" s="68"/>
      <c r="F179" s="68"/>
      <c r="G179" s="68"/>
      <c r="H179" s="31" t="s">
        <v>228</v>
      </c>
      <c r="I179" t="str">
        <f>IFERROR(IF(TRIM(A179)&lt;&gt;"",INDEX('[1]6MD'!$A:$B,MATCH(A179,'[1]6MD'!$A:$A,0),2),""),"")</f>
        <v>Задаем 0.3 сек</v>
      </c>
    </row>
    <row r="180" spans="1:9" ht="17.25" x14ac:dyDescent="0.25">
      <c r="A180" s="76" t="s">
        <v>58</v>
      </c>
      <c r="B180" s="76"/>
      <c r="C180" s="76"/>
      <c r="D180" s="76"/>
      <c r="E180" s="76"/>
      <c r="F180" s="76"/>
      <c r="G180" s="76"/>
      <c r="H180" s="76"/>
      <c r="I180" t="str">
        <f>IFERROR(IF(TRIM(A180)&lt;&gt;"",INDEX('[1]6MD'!$A:$B,MATCH(A180,'[1]6MD'!$A:$A,0),2),""),"")</f>
        <v/>
      </c>
    </row>
    <row r="181" spans="1:9" x14ac:dyDescent="0.25">
      <c r="A181" s="69" t="s">
        <v>75</v>
      </c>
      <c r="B181" s="69"/>
      <c r="C181" s="69"/>
      <c r="D181" s="69"/>
      <c r="E181" s="69"/>
      <c r="F181" s="69"/>
      <c r="G181" s="69"/>
      <c r="H181" s="69"/>
      <c r="I181" t="str">
        <f>IFERROR(IF(TRIM(A181)&lt;&gt;"",INDEX('[1]6MD'!$A:$B,MATCH(A181,'[1]6MD'!$A:$A,0),2),""),"")</f>
        <v/>
      </c>
    </row>
    <row r="182" spans="1:9" x14ac:dyDescent="0.25">
      <c r="A182" s="70" t="s">
        <v>70</v>
      </c>
      <c r="B182" s="70" t="s">
        <v>71</v>
      </c>
      <c r="C182" s="70" t="s">
        <v>72</v>
      </c>
      <c r="D182" s="70" t="s">
        <v>73</v>
      </c>
      <c r="E182" s="70"/>
      <c r="F182" s="70"/>
      <c r="G182" s="70"/>
      <c r="H182" s="70" t="s">
        <v>74</v>
      </c>
      <c r="I182" t="str">
        <f>IFERROR(IF(TRIM(A182)&lt;&gt;"",INDEX('[1]6MD'!$A:$B,MATCH(A182,'[1]6MD'!$A:$A,0),2),""),"")</f>
        <v/>
      </c>
    </row>
    <row r="183" spans="1:9" x14ac:dyDescent="0.25">
      <c r="A183" s="70"/>
      <c r="B183" s="70"/>
      <c r="C183" s="70"/>
      <c r="D183" s="70"/>
      <c r="E183" s="70"/>
      <c r="F183" s="70"/>
      <c r="G183" s="70"/>
      <c r="H183" s="70"/>
      <c r="I183" t="str">
        <f>IFERROR(IF(TRIM(A183)&lt;&gt;"",INDEX('[1]6MD'!$A:$B,MATCH(A183,'[1]6MD'!$A:$A,0),2),""),"")</f>
        <v/>
      </c>
    </row>
    <row r="184" spans="1:9" ht="30" x14ac:dyDescent="0.25">
      <c r="A184" s="30" t="s">
        <v>272</v>
      </c>
      <c r="B184" s="31" t="s">
        <v>58</v>
      </c>
      <c r="C184" s="31" t="s">
        <v>273</v>
      </c>
      <c r="D184" s="68" t="s">
        <v>274</v>
      </c>
      <c r="E184" s="68"/>
      <c r="F184" s="68"/>
      <c r="G184" s="68"/>
      <c r="H184" s="31" t="s">
        <v>61</v>
      </c>
      <c r="I184" t="str">
        <f>IFERROR(IF(TRIM(A184)&lt;&gt;"",INDEX('[1]6MD'!$A:$B,MATCH(A184,'[1]6MD'!$A:$A,0),2),""),"")</f>
        <v/>
      </c>
    </row>
    <row r="185" spans="1:9" ht="30" x14ac:dyDescent="0.25">
      <c r="A185" s="30" t="s">
        <v>275</v>
      </c>
      <c r="B185" s="31" t="s">
        <v>277</v>
      </c>
      <c r="C185" s="31" t="s">
        <v>190</v>
      </c>
      <c r="D185" s="68" t="s">
        <v>260</v>
      </c>
      <c r="E185" s="68"/>
      <c r="F185" s="68"/>
      <c r="G185" s="68"/>
      <c r="H185" s="31" t="s">
        <v>276</v>
      </c>
      <c r="I185" t="str">
        <f>IFERROR(IF(TRIM(A185)&lt;&gt;"",INDEX('[1]6MD'!$A:$B,MATCH(A185,'[1]6MD'!$A:$A,0),2),""),"")</f>
        <v/>
      </c>
    </row>
    <row r="186" spans="1:9" x14ac:dyDescent="0.25">
      <c r="A186" s="30" t="s">
        <v>278</v>
      </c>
      <c r="B186" s="31" t="s">
        <v>279</v>
      </c>
      <c r="C186" s="31" t="s">
        <v>280</v>
      </c>
      <c r="D186" s="68" t="s">
        <v>281</v>
      </c>
      <c r="E186" s="68"/>
      <c r="F186" s="68"/>
      <c r="G186" s="68"/>
      <c r="H186" s="31" t="s">
        <v>282</v>
      </c>
      <c r="I186" t="str">
        <f>IFERROR(IF(TRIM(A186)&lt;&gt;"",INDEX('[1]6MD'!$A:$B,MATCH(A186,'[1]6MD'!$A:$A,0),2),""),"")</f>
        <v>Под звездочку. Определяет время, которое должно пройти после успешной попытки АПВ перед возвратом функции АПВ в исходное состояние</v>
      </c>
    </row>
    <row r="187" spans="1:9" x14ac:dyDescent="0.25">
      <c r="A187" s="30" t="s">
        <v>283</v>
      </c>
      <c r="B187" s="31" t="s">
        <v>284</v>
      </c>
      <c r="C187" s="31" t="s">
        <v>285</v>
      </c>
      <c r="D187" s="68" t="s">
        <v>281</v>
      </c>
      <c r="E187" s="68"/>
      <c r="F187" s="68"/>
      <c r="G187" s="68"/>
      <c r="H187" s="31" t="s">
        <v>286</v>
      </c>
      <c r="I187" t="str">
        <f>IFERROR(IF(TRIM(A187)&lt;&gt;"",INDEX('[1]6MD'!$A:$B,MATCH(A187,'[1]6MD'!$A:$A,0),2),""),"")</f>
        <v>Под звездочку. Определяет как долго функция АПВ будет заблокирована
динамически в случае обнаружения внешней команды ручного включения</v>
      </c>
    </row>
    <row r="188" spans="1:9" ht="30" x14ac:dyDescent="0.25">
      <c r="A188" s="30" t="s">
        <v>287</v>
      </c>
      <c r="B188" s="31" t="s">
        <v>288</v>
      </c>
      <c r="C188" s="31" t="s">
        <v>289</v>
      </c>
      <c r="D188" s="68" t="s">
        <v>290</v>
      </c>
      <c r="E188" s="68"/>
      <c r="F188" s="68"/>
      <c r="G188" s="68"/>
      <c r="H188" s="31" t="s">
        <v>291</v>
      </c>
      <c r="I188" t="str">
        <f>IFERROR(IF(TRIM(A188)&lt;&gt;"",INDEX('[1]6MD'!$A:$B,MATCH(A188,'[1]6MD'!$A:$A,0),2),""),"")</f>
        <v/>
      </c>
    </row>
    <row r="189" spans="1:9" ht="30" x14ac:dyDescent="0.25">
      <c r="A189" s="30" t="s">
        <v>292</v>
      </c>
      <c r="B189" s="31" t="s">
        <v>293</v>
      </c>
      <c r="C189" s="31" t="s">
        <v>294</v>
      </c>
      <c r="D189" s="68" t="s">
        <v>295</v>
      </c>
      <c r="E189" s="68"/>
      <c r="F189" s="68"/>
      <c r="G189" s="68"/>
      <c r="H189" s="31" t="s">
        <v>296</v>
      </c>
      <c r="I189" t="str">
        <f>IFERROR(IF(TRIM(A189)&lt;&gt;"",INDEX('[1]6MD'!$A:$B,MATCH(A189,'[1]6MD'!$A:$A,0),2),""),"")</f>
        <v/>
      </c>
    </row>
    <row r="190" spans="1:9" x14ac:dyDescent="0.25">
      <c r="A190" s="30" t="s">
        <v>297</v>
      </c>
      <c r="B190" s="31" t="s">
        <v>298</v>
      </c>
      <c r="C190" s="31" t="s">
        <v>299</v>
      </c>
      <c r="D190" s="68" t="s">
        <v>114</v>
      </c>
      <c r="E190" s="68"/>
      <c r="F190" s="68"/>
      <c r="G190" s="68"/>
      <c r="H190" s="31" t="s">
        <v>300</v>
      </c>
      <c r="I190" t="str">
        <f>IFERROR(IF(TRIM(A190)&lt;&gt;"",INDEX('[1]6MD'!$A:$B,MATCH(A190,'[1]6MD'!$A:$A,0),2),""),"")</f>
        <v>Задаем 0.4 сек, см. 'Siemens 3408 ТпускаКонтроль.docx'</v>
      </c>
    </row>
    <row r="191" spans="1:9" x14ac:dyDescent="0.25">
      <c r="A191" s="30" t="s">
        <v>301</v>
      </c>
      <c r="B191" s="31" t="s">
        <v>302</v>
      </c>
      <c r="C191" s="31" t="s">
        <v>299</v>
      </c>
      <c r="D191" s="68" t="s">
        <v>303</v>
      </c>
      <c r="E191" s="68"/>
      <c r="F191" s="68"/>
      <c r="G191" s="68"/>
      <c r="H191" s="31" t="s">
        <v>304</v>
      </c>
      <c r="I191" t="str">
        <f>IFERROR(IF(TRIM(A191)&lt;&gt;"",INDEX('[1]6MD'!$A:$B,MATCH(A191,'[1]6MD'!$A:$A,0),2),""),"")</f>
        <v/>
      </c>
    </row>
    <row r="192" spans="1:9" ht="30" x14ac:dyDescent="0.25">
      <c r="A192" s="30" t="s">
        <v>305</v>
      </c>
      <c r="B192" s="31" t="s">
        <v>306</v>
      </c>
      <c r="C192" s="31" t="s">
        <v>307</v>
      </c>
      <c r="D192" s="68" t="s">
        <v>308</v>
      </c>
      <c r="E192" s="68"/>
      <c r="F192" s="68"/>
      <c r="G192" s="68"/>
      <c r="H192" s="31" t="s">
        <v>309</v>
      </c>
      <c r="I192" t="str">
        <f>IFERROR(IF(TRIM(A192)&lt;&gt;"",INDEX('[1]6MD'!$A:$B,MATCH(A192,'[1]6MD'!$A:$A,0),2),""),"")</f>
        <v/>
      </c>
    </row>
    <row r="193" spans="1:9" x14ac:dyDescent="0.25">
      <c r="A193" s="30" t="s">
        <v>310</v>
      </c>
      <c r="B193" s="31" t="s">
        <v>311</v>
      </c>
      <c r="C193" s="31" t="s">
        <v>312</v>
      </c>
      <c r="D193" s="68" t="s">
        <v>198</v>
      </c>
      <c r="E193" s="68"/>
      <c r="F193" s="68"/>
      <c r="G193" s="68"/>
      <c r="H193" s="31" t="s">
        <v>313</v>
      </c>
      <c r="I193" t="str">
        <f>IFERROR(IF(TRIM(A193)&lt;&gt;"",INDEX('[1]6MD'!$A:$B,MATCH(A193,'[1]6MD'!$A:$A,0),2),""),"")</f>
        <v>Уставки 3413 и 3414 скопировать из конфига ВРУЧНУЮ!!! Обычно это время д.б. больше уставок "Макс. время процеса синхронизации". Она запускается, когда
заканчивается заданное время бестоковой паузы. Если контроль синхронизма выполняется до окончания этого времени, то набор времени контроля останавливается и формируется команда включения. Если время заканчивается до выполнения условий контроля синхронизма, АПВ блокируется динамически на время 7108</v>
      </c>
    </row>
    <row r="194" spans="1:9" ht="30" x14ac:dyDescent="0.25">
      <c r="A194" s="30">
        <v>3413</v>
      </c>
      <c r="B194" s="38" t="s">
        <v>468</v>
      </c>
      <c r="C194" s="38" t="s">
        <v>423</v>
      </c>
      <c r="D194" s="85" t="s">
        <v>469</v>
      </c>
      <c r="E194" s="86"/>
      <c r="F194" s="86"/>
      <c r="G194" s="87"/>
      <c r="H194" s="38" t="s">
        <v>470</v>
      </c>
      <c r="I194" t="str">
        <f>IFERROR(IF(TRIM(A194)&lt;&gt;"",INDEX('[1]6MD'!$A:$B,MATCH(A194,'[1]6MD'!$A:$A,0),2),""),"")</f>
        <v/>
      </c>
    </row>
    <row r="195" spans="1:9" ht="60" x14ac:dyDescent="0.25">
      <c r="A195" s="30">
        <v>3414</v>
      </c>
      <c r="B195" s="38" t="s">
        <v>471</v>
      </c>
      <c r="C195" s="38" t="s">
        <v>472</v>
      </c>
      <c r="D195" s="68" t="s">
        <v>469</v>
      </c>
      <c r="E195" s="68"/>
      <c r="F195" s="68"/>
      <c r="G195" s="68"/>
      <c r="H195" s="38" t="s">
        <v>473</v>
      </c>
      <c r="I195" t="str">
        <f>IFERROR(IF(TRIM(A195)&lt;&gt;"",INDEX('[1]6MD'!$A:$B,MATCH(A195,'[1]6MD'!$A:$A,0),2),""),"")</f>
        <v/>
      </c>
    </row>
    <row r="196" spans="1:9" x14ac:dyDescent="0.25">
      <c r="A196" s="69" t="s">
        <v>314</v>
      </c>
      <c r="B196" s="69"/>
      <c r="C196" s="69"/>
      <c r="D196" s="69"/>
      <c r="E196" s="69"/>
      <c r="F196" s="69"/>
      <c r="G196" s="69"/>
      <c r="H196" s="69"/>
      <c r="I196" t="str">
        <f>IFERROR(IF(TRIM(A196)&lt;&gt;"",INDEX('[1]6MD'!$A:$B,MATCH(A196,'[1]6MD'!$A:$A,0),2),""),"")</f>
        <v/>
      </c>
    </row>
    <row r="197" spans="1:9" x14ac:dyDescent="0.25">
      <c r="A197" s="70" t="s">
        <v>70</v>
      </c>
      <c r="B197" s="70" t="s">
        <v>71</v>
      </c>
      <c r="C197" s="70" t="s">
        <v>72</v>
      </c>
      <c r="D197" s="70" t="s">
        <v>73</v>
      </c>
      <c r="E197" s="70"/>
      <c r="F197" s="70"/>
      <c r="G197" s="70"/>
      <c r="H197" s="70" t="s">
        <v>74</v>
      </c>
      <c r="I197" t="str">
        <f>IFERROR(IF(TRIM(A197)&lt;&gt;"",INDEX('[1]6MD'!$A:$B,MATCH(A197,'[1]6MD'!$A:$A,0),2),""),"")</f>
        <v/>
      </c>
    </row>
    <row r="198" spans="1:9" x14ac:dyDescent="0.25">
      <c r="A198" s="70"/>
      <c r="B198" s="70"/>
      <c r="C198" s="70"/>
      <c r="D198" s="70"/>
      <c r="E198" s="70"/>
      <c r="F198" s="70"/>
      <c r="G198" s="70"/>
      <c r="H198" s="70"/>
      <c r="I198" t="str">
        <f>IFERROR(IF(TRIM(A198)&lt;&gt;"",INDEX('[1]6MD'!$A:$B,MATCH(A198,'[1]6MD'!$A:$A,0),2),""),"")</f>
        <v/>
      </c>
    </row>
    <row r="199" spans="1:9" x14ac:dyDescent="0.25">
      <c r="A199" s="30" t="s">
        <v>315</v>
      </c>
      <c r="B199" s="31" t="s">
        <v>316</v>
      </c>
      <c r="C199" s="31" t="s">
        <v>317</v>
      </c>
      <c r="D199" s="68" t="s">
        <v>318</v>
      </c>
      <c r="E199" s="68"/>
      <c r="F199" s="68"/>
      <c r="G199" s="68"/>
      <c r="H199" s="31" t="s">
        <v>319</v>
      </c>
      <c r="I199" t="str">
        <f>IFERROR(IF(TRIM(A199)&lt;&gt;"",INDEX('[1]6MD'!$A:$B,MATCH(A199,'[1]6MD'!$A:$A,0),2),""),"")</f>
        <v/>
      </c>
    </row>
    <row r="200" spans="1:9" x14ac:dyDescent="0.25">
      <c r="A200" s="30" t="s">
        <v>320</v>
      </c>
      <c r="B200" s="31" t="s">
        <v>321</v>
      </c>
      <c r="C200" s="31" t="s">
        <v>322</v>
      </c>
      <c r="D200" s="68" t="s">
        <v>474</v>
      </c>
      <c r="E200" s="68"/>
      <c r="F200" s="68"/>
      <c r="G200" s="68"/>
      <c r="H200" s="31" t="s">
        <v>323</v>
      </c>
      <c r="I200" t="str">
        <f>IFERROR(IF(TRIM(A200)&lt;&gt;"",INDEX('[1]6MD'!$A:$B,MATCH(A200,'[1]6MD'!$A:$A,0),2),""),"")</f>
        <v>Под звездочку</v>
      </c>
    </row>
    <row r="201" spans="1:9" ht="30" x14ac:dyDescent="0.25">
      <c r="A201" s="30" t="s">
        <v>324</v>
      </c>
      <c r="B201" s="31" t="s">
        <v>326</v>
      </c>
      <c r="C201" s="31" t="s">
        <v>190</v>
      </c>
      <c r="D201" s="68" t="s">
        <v>475</v>
      </c>
      <c r="E201" s="68"/>
      <c r="F201" s="68"/>
      <c r="G201" s="68"/>
      <c r="H201" s="31" t="s">
        <v>325</v>
      </c>
      <c r="I201" t="str">
        <f>IFERROR(IF(TRIM(A201)&lt;&gt;"",INDEX('[1]6MD'!$A:$B,MATCH(A201,'[1]6MD'!$A:$A,0),2),""),"")</f>
        <v>Под звездочку</v>
      </c>
    </row>
    <row r="202" spans="1:9" ht="30" x14ac:dyDescent="0.25">
      <c r="A202" s="30" t="s">
        <v>327</v>
      </c>
      <c r="B202" s="31" t="s">
        <v>328</v>
      </c>
      <c r="C202" s="31" t="s">
        <v>190</v>
      </c>
      <c r="D202" s="68" t="s">
        <v>260</v>
      </c>
      <c r="E202" s="68"/>
      <c r="F202" s="68"/>
      <c r="G202" s="68"/>
      <c r="H202" s="31" t="s">
        <v>329</v>
      </c>
      <c r="I202" t="str">
        <f>IFERROR(IF(TRIM(A202)&lt;&gt;"",INDEX('[1]6MD'!$A:$B,MATCH(A202,'[1]6MD'!$A:$A,0),2),""),"")</f>
        <v/>
      </c>
    </row>
    <row r="203" spans="1:9" x14ac:dyDescent="0.25">
      <c r="A203" s="69" t="s">
        <v>330</v>
      </c>
      <c r="B203" s="69"/>
      <c r="C203" s="69"/>
      <c r="D203" s="69"/>
      <c r="E203" s="69"/>
      <c r="F203" s="69"/>
      <c r="G203" s="69"/>
      <c r="H203" s="69"/>
      <c r="I203" t="str">
        <f>IFERROR(IF(TRIM(A203)&lt;&gt;"",INDEX('[1]6MD'!$A:$B,MATCH(A203,'[1]6MD'!$A:$A,0),2),""),"")</f>
        <v/>
      </c>
    </row>
    <row r="204" spans="1:9" ht="15" customHeight="1" x14ac:dyDescent="0.25">
      <c r="A204" s="70" t="s">
        <v>70</v>
      </c>
      <c r="B204" s="70" t="s">
        <v>71</v>
      </c>
      <c r="C204" s="77" t="s">
        <v>72</v>
      </c>
      <c r="D204" s="79" t="s">
        <v>73</v>
      </c>
      <c r="E204" s="80"/>
      <c r="F204" s="80"/>
      <c r="G204" s="81"/>
      <c r="H204" s="70" t="s">
        <v>74</v>
      </c>
      <c r="I204" t="str">
        <f>IFERROR(IF(TRIM(A204)&lt;&gt;"",INDEX('[1]6MD'!$A:$B,MATCH(A204,'[1]6MD'!$A:$A,0),2),""),"")</f>
        <v/>
      </c>
    </row>
    <row r="205" spans="1:9" x14ac:dyDescent="0.25">
      <c r="A205" s="70"/>
      <c r="B205" s="70"/>
      <c r="C205" s="78"/>
      <c r="D205" s="82"/>
      <c r="E205" s="83"/>
      <c r="F205" s="83"/>
      <c r="G205" s="84"/>
      <c r="H205" s="70"/>
      <c r="I205" t="str">
        <f>IFERROR(IF(TRIM(A205)&lt;&gt;"",INDEX('[1]6MD'!$A:$B,MATCH(A205,'[1]6MD'!$A:$A,0),2),""),"")</f>
        <v/>
      </c>
    </row>
    <row r="206" spans="1:9" ht="30" x14ac:dyDescent="0.25">
      <c r="A206" s="30" t="s">
        <v>331</v>
      </c>
      <c r="B206" s="31" t="s">
        <v>332</v>
      </c>
      <c r="C206" s="31" t="s">
        <v>190</v>
      </c>
      <c r="D206" s="68" t="s">
        <v>77</v>
      </c>
      <c r="E206" s="68"/>
      <c r="F206" s="68"/>
      <c r="G206" s="68"/>
      <c r="H206" s="31" t="s">
        <v>333</v>
      </c>
      <c r="I206" t="str">
        <f>IFERROR(IF(TRIM(A206)&lt;&gt;"",INDEX('[1]6MD'!$A:$B,MATCH(A206,'[1]6MD'!$A:$A,0),2),""),"")</f>
        <v>НЕТ, у нас нет ОАПВ, см. Вынужденное 3-фазное отключение в мануале</v>
      </c>
    </row>
    <row r="207" spans="1:9" ht="75" x14ac:dyDescent="0.25">
      <c r="A207" s="30" t="s">
        <v>334</v>
      </c>
      <c r="B207" s="31" t="s">
        <v>335</v>
      </c>
      <c r="C207" s="31" t="s">
        <v>336</v>
      </c>
      <c r="D207" s="68" t="s">
        <v>337</v>
      </c>
      <c r="E207" s="68"/>
      <c r="F207" s="68"/>
      <c r="G207" s="68"/>
      <c r="H207" s="31" t="s">
        <v>338</v>
      </c>
      <c r="I207" t="str">
        <f>IFERROR(IF(TRIM(A207)&lt;&gt;"",INDEX('[1]6MD'!$A:$B,MATCH(A207,'[1]6MD'!$A:$A,0),2),""),"")</f>
        <v>без, см Контроль отключенного состояния линии в мануале</v>
      </c>
    </row>
    <row r="208" spans="1:9" ht="30" x14ac:dyDescent="0.25">
      <c r="A208" s="30" t="s">
        <v>339</v>
      </c>
      <c r="B208" s="31" t="s">
        <v>340</v>
      </c>
      <c r="C208" s="31" t="s">
        <v>341</v>
      </c>
      <c r="D208" s="68" t="s">
        <v>109</v>
      </c>
      <c r="E208" s="68"/>
      <c r="F208" s="68"/>
      <c r="G208" s="68"/>
      <c r="H208" s="31" t="s">
        <v>342</v>
      </c>
      <c r="I208" t="str">
        <f>IFERROR(IF(TRIM(A208)&lt;&gt;"",INDEX('[1]6MD'!$A:$B,MATCH(A208,'[1]6MD'!$A:$A,0),2),""),"")</f>
        <v>0.10 сек, не используется</v>
      </c>
    </row>
    <row r="209" spans="1:9" x14ac:dyDescent="0.25">
      <c r="A209" s="30" t="s">
        <v>343</v>
      </c>
      <c r="B209" s="31" t="s">
        <v>344</v>
      </c>
      <c r="C209" s="31" t="s">
        <v>345</v>
      </c>
      <c r="D209" s="68" t="s">
        <v>528</v>
      </c>
      <c r="E209" s="68"/>
      <c r="F209" s="68"/>
      <c r="G209" s="68"/>
      <c r="H209" s="31" t="s">
        <v>346</v>
      </c>
      <c r="I209" t="str">
        <f>IFERROR(IF(TRIM(A209)&lt;&gt;"",INDEX('[1]6MD'!$A:$B,MATCH(A209,'[1]6MD'!$A:$A,0),2),""),"")</f>
        <v>48 В, не используется</v>
      </c>
    </row>
    <row r="210" spans="1:9" x14ac:dyDescent="0.25">
      <c r="A210" s="30" t="s">
        <v>347</v>
      </c>
      <c r="B210" s="31" t="s">
        <v>348</v>
      </c>
      <c r="C210" s="31" t="s">
        <v>349</v>
      </c>
      <c r="D210" s="68" t="s">
        <v>529</v>
      </c>
      <c r="E210" s="68"/>
      <c r="F210" s="68"/>
      <c r="G210" s="68"/>
      <c r="H210" s="31" t="s">
        <v>350</v>
      </c>
      <c r="I210" t="str">
        <f>IFERROR(IF(TRIM(A210)&lt;&gt;"",INDEX('[1]6MD'!$A:$B,MATCH(A210,'[1]6MD'!$A:$A,0),2),""),"")</f>
        <v>30 В, не используется</v>
      </c>
    </row>
    <row r="211" spans="1:9" ht="17.25" x14ac:dyDescent="0.25">
      <c r="A211" s="76" t="s">
        <v>68</v>
      </c>
      <c r="B211" s="76"/>
      <c r="C211" s="76"/>
      <c r="D211" s="76"/>
      <c r="E211" s="76"/>
      <c r="F211" s="76"/>
      <c r="G211" s="76"/>
      <c r="H211" s="76"/>
      <c r="I211" t="str">
        <f>IFERROR(IF(TRIM(A211)&lt;&gt;"",INDEX('[1]6MD'!$A:$B,MATCH(A211,'[1]6MD'!$A:$A,0),2),""),"")</f>
        <v/>
      </c>
    </row>
    <row r="212" spans="1:9" x14ac:dyDescent="0.25">
      <c r="A212" s="69" t="s">
        <v>75</v>
      </c>
      <c r="B212" s="69"/>
      <c r="C212" s="69"/>
      <c r="D212" s="69"/>
      <c r="E212" s="69"/>
      <c r="F212" s="69"/>
      <c r="G212" s="69"/>
      <c r="H212" s="69"/>
      <c r="I212" t="str">
        <f>IFERROR(IF(TRIM(A212)&lt;&gt;"",INDEX('[1]6MD'!$A:$B,MATCH(A212,'[1]6MD'!$A:$A,0),2),""),"")</f>
        <v/>
      </c>
    </row>
    <row r="213" spans="1:9" ht="15" customHeight="1" x14ac:dyDescent="0.25">
      <c r="A213" s="70" t="s">
        <v>70</v>
      </c>
      <c r="B213" s="70" t="s">
        <v>71</v>
      </c>
      <c r="C213" s="77" t="s">
        <v>72</v>
      </c>
      <c r="D213" s="79" t="s">
        <v>73</v>
      </c>
      <c r="E213" s="80"/>
      <c r="F213" s="80"/>
      <c r="G213" s="81"/>
      <c r="H213" s="70" t="s">
        <v>74</v>
      </c>
      <c r="I213" t="str">
        <f>IFERROR(IF(TRIM(A213)&lt;&gt;"",INDEX('[1]6MD'!$A:$B,MATCH(A213,'[1]6MD'!$A:$A,0),2),""),"")</f>
        <v/>
      </c>
    </row>
    <row r="214" spans="1:9" x14ac:dyDescent="0.25">
      <c r="A214" s="70"/>
      <c r="B214" s="70"/>
      <c r="C214" s="78"/>
      <c r="D214" s="82"/>
      <c r="E214" s="83"/>
      <c r="F214" s="83"/>
      <c r="G214" s="84"/>
      <c r="H214" s="70"/>
      <c r="I214" t="str">
        <f>IFERROR(IF(TRIM(A214)&lt;&gt;"",INDEX('[1]6MD'!$A:$B,MATCH(A214,'[1]6MD'!$A:$A,0),2),""),"")</f>
        <v/>
      </c>
    </row>
    <row r="215" spans="1:9" ht="30" x14ac:dyDescent="0.25">
      <c r="A215" s="30" t="s">
        <v>351</v>
      </c>
      <c r="B215" s="31" t="s">
        <v>352</v>
      </c>
      <c r="C215" s="31" t="s">
        <v>353</v>
      </c>
      <c r="D215" s="68" t="s">
        <v>274</v>
      </c>
      <c r="E215" s="68"/>
      <c r="F215" s="68"/>
      <c r="G215" s="68"/>
      <c r="H215" s="31" t="s">
        <v>354</v>
      </c>
      <c r="I215" t="str">
        <f>IFERROR(IF(TRIM(A215)&lt;&gt;"",INDEX('[1]6MD'!$A:$B,MATCH(A215,'[1]6MD'!$A:$A,0),2),""),"")</f>
        <v/>
      </c>
    </row>
    <row r="216" spans="1:9" x14ac:dyDescent="0.25">
      <c r="A216" s="30" t="s">
        <v>355</v>
      </c>
      <c r="B216" s="31" t="s">
        <v>356</v>
      </c>
      <c r="C216" s="31" t="s">
        <v>357</v>
      </c>
      <c r="D216" s="68" t="s">
        <v>490</v>
      </c>
      <c r="E216" s="68"/>
      <c r="F216" s="68"/>
      <c r="G216" s="68"/>
      <c r="H216" s="31" t="s">
        <v>358</v>
      </c>
      <c r="I216" t="str">
        <f>IFERROR(IF(TRIM(A216)&lt;&gt;"",INDEX('[1]6MD'!$A:$B,MATCH(A216,'[1]6MD'!$A:$A,0),2),""),"")</f>
        <v/>
      </c>
    </row>
    <row r="217" spans="1:9" x14ac:dyDescent="0.25">
      <c r="A217" s="30" t="s">
        <v>359</v>
      </c>
      <c r="B217" s="31" t="s">
        <v>360</v>
      </c>
      <c r="C217" s="31" t="s">
        <v>357</v>
      </c>
      <c r="D217" s="68" t="s">
        <v>490</v>
      </c>
      <c r="E217" s="68"/>
      <c r="F217" s="68"/>
      <c r="G217" s="68"/>
      <c r="H217" s="31" t="s">
        <v>361</v>
      </c>
      <c r="I217" t="str">
        <f>IFERROR(IF(TRIM(A217)&lt;&gt;"",INDEX('[1]6MD'!$A:$B,MATCH(A217,'[1]6MD'!$A:$A,0),2),""),"")</f>
        <v/>
      </c>
    </row>
    <row r="218" spans="1:9" ht="30" x14ac:dyDescent="0.25">
      <c r="A218" s="30" t="s">
        <v>362</v>
      </c>
      <c r="B218" s="31" t="s">
        <v>363</v>
      </c>
      <c r="C218" s="31" t="s">
        <v>76</v>
      </c>
      <c r="D218" s="68" t="s">
        <v>77</v>
      </c>
      <c r="E218" s="68"/>
      <c r="F218" s="68"/>
      <c r="G218" s="68"/>
      <c r="H218" s="31" t="s">
        <v>364</v>
      </c>
      <c r="I218" t="str">
        <f>IFERROR(IF(TRIM(A218)&lt;&gt;"",INDEX('[1]6MD'!$A:$B,MATCH(A218,'[1]6MD'!$A:$A,0),2),""),"")</f>
        <v>НЕТ - контроль только тока: ДА - контроль только РПО. Контролировать оба параметра невозможно. Выбираем способ контроля в каждом конкретном случае.</v>
      </c>
    </row>
    <row r="219" spans="1:9" ht="30" x14ac:dyDescent="0.25">
      <c r="A219" s="30" t="s">
        <v>365</v>
      </c>
      <c r="B219" s="31" t="s">
        <v>366</v>
      </c>
      <c r="C219" s="31" t="s">
        <v>190</v>
      </c>
      <c r="D219" s="68" t="s">
        <v>77</v>
      </c>
      <c r="E219" s="68"/>
      <c r="F219" s="68"/>
      <c r="G219" s="68"/>
      <c r="H219" s="31" t="s">
        <v>367</v>
      </c>
      <c r="I219" t="str">
        <f>IFERROR(IF(TRIM(A219)&lt;&gt;"",INDEX('[1]6MD'!$A:$B,MATCH(A219,'[1]6MD'!$A:$A,0),2),""),"")</f>
        <v/>
      </c>
    </row>
    <row r="220" spans="1:9" x14ac:dyDescent="0.25">
      <c r="A220" s="69" t="s">
        <v>368</v>
      </c>
      <c r="B220" s="69"/>
      <c r="C220" s="69"/>
      <c r="D220" s="69"/>
      <c r="E220" s="69"/>
      <c r="F220" s="69"/>
      <c r="G220" s="69"/>
      <c r="H220" s="69"/>
      <c r="I220" t="str">
        <f>IFERROR(IF(TRIM(A220)&lt;&gt;"",INDEX('[1]6MD'!$A:$B,MATCH(A220,'[1]6MD'!$A:$A,0),2),""),"")</f>
        <v/>
      </c>
    </row>
    <row r="221" spans="1:9" ht="17.25" customHeight="1" x14ac:dyDescent="0.25">
      <c r="A221" s="70" t="s">
        <v>70</v>
      </c>
      <c r="B221" s="70" t="s">
        <v>71</v>
      </c>
      <c r="C221" s="70" t="s">
        <v>72</v>
      </c>
      <c r="D221" s="70" t="s">
        <v>73</v>
      </c>
      <c r="E221" s="70"/>
      <c r="F221" s="70"/>
      <c r="G221" s="70"/>
      <c r="H221" s="70" t="s">
        <v>74</v>
      </c>
      <c r="I221" t="str">
        <f>IFERROR(IF(TRIM(A221)&lt;&gt;"",INDEX('[1]6MD'!$A:$B,MATCH(A221,'[1]6MD'!$A:$A,0),2),""),"")</f>
        <v/>
      </c>
    </row>
    <row r="222" spans="1:9" ht="15" customHeight="1" x14ac:dyDescent="0.25">
      <c r="A222" s="70"/>
      <c r="B222" s="70"/>
      <c r="C222" s="70"/>
      <c r="D222" s="70"/>
      <c r="E222" s="70"/>
      <c r="F222" s="70"/>
      <c r="G222" s="70"/>
      <c r="H222" s="70"/>
      <c r="I222" t="str">
        <f>IFERROR(IF(TRIM(A222)&lt;&gt;"",INDEX('[1]6MD'!$A:$B,MATCH(A222,'[1]6MD'!$A:$A,0),2),""),"")</f>
        <v/>
      </c>
    </row>
    <row r="223" spans="1:9" x14ac:dyDescent="0.25">
      <c r="A223" s="30" t="s">
        <v>369</v>
      </c>
      <c r="B223" s="31" t="s">
        <v>370</v>
      </c>
      <c r="C223" s="31" t="s">
        <v>371</v>
      </c>
      <c r="D223" s="68" t="s">
        <v>372</v>
      </c>
      <c r="E223" s="68"/>
      <c r="F223" s="68"/>
      <c r="G223" s="68"/>
      <c r="H223" s="31" t="s">
        <v>373</v>
      </c>
      <c r="I223" t="str">
        <f>IFERROR(IF(TRIM(A223)&lt;&gt;"",INDEX('[1]6MD'!$A:$B,MATCH(A223,'[1]6MD'!$A:$A,0),2),""),"")</f>
        <v>Даже если пофазный УРОВ не используется, выдержка времени 3904 должна быть одинаковой с выдержкой времени 3905</v>
      </c>
    </row>
    <row r="224" spans="1:9" ht="15" customHeight="1" x14ac:dyDescent="0.25">
      <c r="A224" s="30" t="s">
        <v>374</v>
      </c>
      <c r="B224" s="31" t="s">
        <v>375</v>
      </c>
      <c r="C224" s="31" t="s">
        <v>371</v>
      </c>
      <c r="D224" s="68" t="s">
        <v>372</v>
      </c>
      <c r="E224" s="68"/>
      <c r="F224" s="68"/>
      <c r="G224" s="68"/>
      <c r="H224" s="31" t="s">
        <v>376</v>
      </c>
      <c r="I224" t="str">
        <f>IFERROR(IF(TRIM(A224)&lt;&gt;"",INDEX('[1]6MD'!$A:$B,MATCH(A224,'[1]6MD'!$A:$A,0),2),""),"")</f>
        <v>Время повторного действия на себя трехфазного УРОВа</v>
      </c>
    </row>
    <row r="225" spans="1:9" ht="15" customHeight="1" x14ac:dyDescent="0.25">
      <c r="A225" s="30" t="s">
        <v>377</v>
      </c>
      <c r="B225" s="31" t="s">
        <v>378</v>
      </c>
      <c r="C225" s="31" t="s">
        <v>371</v>
      </c>
      <c r="D225" s="68" t="s">
        <v>227</v>
      </c>
      <c r="E225" s="68"/>
      <c r="F225" s="68"/>
      <c r="G225" s="68"/>
      <c r="H225" s="31" t="s">
        <v>379</v>
      </c>
      <c r="I225" t="str">
        <f>IFERROR(IF(TRIM(A225)&lt;&gt;"",INDEX('[1]6MD'!$A:$B,MATCH(A225,'[1]6MD'!$A:$A,0),2),""),"")</f>
        <v>Время резервного действия на соседние выключатели</v>
      </c>
    </row>
    <row r="226" spans="1:9" x14ac:dyDescent="0.25">
      <c r="A226" s="69" t="s">
        <v>380</v>
      </c>
      <c r="B226" s="69"/>
      <c r="C226" s="69"/>
      <c r="D226" s="69"/>
      <c r="E226" s="69"/>
      <c r="F226" s="69"/>
      <c r="G226" s="69"/>
      <c r="H226" s="69"/>
      <c r="I226" t="str">
        <f>IFERROR(IF(TRIM(A226)&lt;&gt;"",INDEX('[1]6MD'!$A:$B,MATCH(A226,'[1]6MD'!$A:$A,0),2),""),"")</f>
        <v/>
      </c>
    </row>
    <row r="227" spans="1:9" x14ac:dyDescent="0.25">
      <c r="A227" s="70" t="s">
        <v>70</v>
      </c>
      <c r="B227" s="70" t="s">
        <v>71</v>
      </c>
      <c r="C227" s="70" t="s">
        <v>72</v>
      </c>
      <c r="D227" s="70" t="s">
        <v>73</v>
      </c>
      <c r="E227" s="70"/>
      <c r="F227" s="70"/>
      <c r="G227" s="70"/>
      <c r="H227" s="70" t="s">
        <v>74</v>
      </c>
      <c r="I227" t="str">
        <f>IFERROR(IF(TRIM(A227)&lt;&gt;"",INDEX('[1]6MD'!$A:$B,MATCH(A227,'[1]6MD'!$A:$A,0),2),""),"")</f>
        <v/>
      </c>
    </row>
    <row r="228" spans="1:9" ht="16.5" customHeight="1" x14ac:dyDescent="0.25">
      <c r="A228" s="70"/>
      <c r="B228" s="70"/>
      <c r="C228" s="70"/>
      <c r="D228" s="70"/>
      <c r="E228" s="70"/>
      <c r="F228" s="70"/>
      <c r="G228" s="70"/>
      <c r="H228" s="70"/>
      <c r="I228" t="str">
        <f>IFERROR(IF(TRIM(A228)&lt;&gt;"",INDEX('[1]6MD'!$A:$B,MATCH(A228,'[1]6MD'!$A:$A,0),2),""),"")</f>
        <v/>
      </c>
    </row>
    <row r="229" spans="1:9" ht="15" customHeight="1" x14ac:dyDescent="0.25">
      <c r="A229" s="30" t="s">
        <v>381</v>
      </c>
      <c r="B229" s="31" t="s">
        <v>382</v>
      </c>
      <c r="C229" s="31" t="s">
        <v>371</v>
      </c>
      <c r="D229" s="68" t="s">
        <v>383</v>
      </c>
      <c r="E229" s="68"/>
      <c r="F229" s="68"/>
      <c r="G229" s="68"/>
      <c r="H229" s="31" t="s">
        <v>384</v>
      </c>
      <c r="I229" t="str">
        <f>IFERROR(IF(TRIM(A229)&lt;&gt;"",INDEX('[1]6MD'!$A:$B,MATCH(A229,'[1]6MD'!$A:$A,0),2),""),"")</f>
        <v>Время действия на соседние выключатели при заведомо неисправном выключателе</v>
      </c>
    </row>
    <row r="230" spans="1:9" ht="15" customHeight="1" x14ac:dyDescent="0.25">
      <c r="A230" s="30" t="s">
        <v>385</v>
      </c>
      <c r="B230" s="31" t="s">
        <v>386</v>
      </c>
      <c r="C230" s="31" t="s">
        <v>387</v>
      </c>
      <c r="D230" s="68" t="s">
        <v>388</v>
      </c>
      <c r="E230" s="68"/>
      <c r="F230" s="68"/>
      <c r="G230" s="68"/>
      <c r="H230" s="31" t="s">
        <v>389</v>
      </c>
      <c r="I230" t="str">
        <f>IFERROR(IF(TRIM(A230)&lt;&gt;"",INDEX('[1]6MD'!$A:$B,MATCH(A230,'[1]6MD'!$A:$A,0),2),""),"")</f>
        <v>Мы задаем "УРОВ Откл (Т1 и Т2)", для УРОВ на себя и при индивидуальном УРОВ.</v>
      </c>
    </row>
    <row r="231" spans="1:9" x14ac:dyDescent="0.25">
      <c r="A231" s="69" t="s">
        <v>390</v>
      </c>
      <c r="B231" s="69"/>
      <c r="C231" s="69"/>
      <c r="D231" s="69"/>
      <c r="E231" s="69"/>
      <c r="F231" s="69"/>
      <c r="G231" s="69"/>
      <c r="H231" s="69"/>
      <c r="I231" t="str">
        <f>IFERROR(IF(TRIM(A231)&lt;&gt;"",INDEX('[1]6MD'!$A:$B,MATCH(A231,'[1]6MD'!$A:$A,0),2),""),"")</f>
        <v/>
      </c>
    </row>
    <row r="232" spans="1:9" x14ac:dyDescent="0.25">
      <c r="A232" s="70" t="s">
        <v>70</v>
      </c>
      <c r="B232" s="70" t="s">
        <v>71</v>
      </c>
      <c r="C232" s="70" t="s">
        <v>72</v>
      </c>
      <c r="D232" s="70" t="s">
        <v>73</v>
      </c>
      <c r="E232" s="70"/>
      <c r="F232" s="70"/>
      <c r="G232" s="70"/>
      <c r="H232" s="70" t="s">
        <v>74</v>
      </c>
      <c r="I232" t="str">
        <f>IFERROR(IF(TRIM(A232)&lt;&gt;"",INDEX('[1]6MD'!$A:$B,MATCH(A232,'[1]6MD'!$A:$A,0),2),""),"")</f>
        <v/>
      </c>
    </row>
    <row r="233" spans="1:9" x14ac:dyDescent="0.25">
      <c r="A233" s="70"/>
      <c r="B233" s="70"/>
      <c r="C233" s="70"/>
      <c r="D233" s="70"/>
      <c r="E233" s="70"/>
      <c r="F233" s="70"/>
      <c r="G233" s="70"/>
      <c r="H233" s="70"/>
      <c r="I233" t="str">
        <f>IFERROR(IF(TRIM(A233)&lt;&gt;"",INDEX('[1]6MD'!$A:$B,MATCH(A233,'[1]6MD'!$A:$A,0),2),""),"")</f>
        <v/>
      </c>
    </row>
    <row r="234" spans="1:9" ht="30" x14ac:dyDescent="0.25">
      <c r="A234" s="30" t="s">
        <v>391</v>
      </c>
      <c r="B234" s="31" t="s">
        <v>392</v>
      </c>
      <c r="C234" s="31" t="s">
        <v>353</v>
      </c>
      <c r="D234" s="68" t="s">
        <v>485</v>
      </c>
      <c r="E234" s="68"/>
      <c r="F234" s="68"/>
      <c r="G234" s="68"/>
      <c r="H234" s="31" t="s">
        <v>393</v>
      </c>
      <c r="I234" t="str">
        <f>IFERROR(IF(TRIM(A234)&lt;&gt;"",INDEX('[1]6MD'!$A:$B,MATCH(A234,'[1]6MD'!$A:$A,0),2),""),"")</f>
        <v>Под звездочку, УРОВ при КЗ в "мертвой зоне", обычно мы задаем, но у МЭСа подход не использовать.</v>
      </c>
    </row>
    <row r="235" spans="1:9" x14ac:dyDescent="0.25">
      <c r="A235" s="30" t="s">
        <v>394</v>
      </c>
      <c r="B235" s="31" t="s">
        <v>395</v>
      </c>
      <c r="C235" s="31" t="s">
        <v>371</v>
      </c>
      <c r="D235" s="68" t="s">
        <v>227</v>
      </c>
      <c r="E235" s="68"/>
      <c r="F235" s="68"/>
      <c r="G235" s="68"/>
      <c r="H235" s="31" t="s">
        <v>396</v>
      </c>
      <c r="I235" t="str">
        <f>IFERROR(IF(TRIM(A235)&lt;&gt;"",INDEX('[1]6MD'!$A:$B,MATCH(A235,'[1]6MD'!$A:$A,0),2),""),"")</f>
        <v/>
      </c>
    </row>
    <row r="236" spans="1:9" x14ac:dyDescent="0.25">
      <c r="A236" s="69" t="s">
        <v>397</v>
      </c>
      <c r="B236" s="69"/>
      <c r="C236" s="69"/>
      <c r="D236" s="69"/>
      <c r="E236" s="69"/>
      <c r="F236" s="69"/>
      <c r="G236" s="69"/>
      <c r="H236" s="69"/>
      <c r="I236" t="str">
        <f>IFERROR(IF(TRIM(A236)&lt;&gt;"",INDEX('[1]6MD'!$A:$B,MATCH(A236,'[1]6MD'!$A:$A,0),2),""),"")</f>
        <v/>
      </c>
    </row>
    <row r="237" spans="1:9" x14ac:dyDescent="0.25">
      <c r="A237" s="70" t="s">
        <v>70</v>
      </c>
      <c r="B237" s="70" t="s">
        <v>71</v>
      </c>
      <c r="C237" s="70" t="s">
        <v>72</v>
      </c>
      <c r="D237" s="70" t="s">
        <v>73</v>
      </c>
      <c r="E237" s="70"/>
      <c r="F237" s="70"/>
      <c r="G237" s="70"/>
      <c r="H237" s="70" t="s">
        <v>74</v>
      </c>
      <c r="I237" t="str">
        <f>IFERROR(IF(TRIM(A237)&lt;&gt;"",INDEX('[1]6MD'!$A:$B,MATCH(A237,'[1]6MD'!$A:$A,0),2),""),"")</f>
        <v/>
      </c>
    </row>
    <row r="238" spans="1:9" x14ac:dyDescent="0.25">
      <c r="A238" s="70"/>
      <c r="B238" s="70"/>
      <c r="C238" s="70"/>
      <c r="D238" s="70"/>
      <c r="E238" s="70"/>
      <c r="F238" s="70"/>
      <c r="G238" s="70"/>
      <c r="H238" s="70"/>
      <c r="I238" t="str">
        <f>IFERROR(IF(TRIM(A238)&lt;&gt;"",INDEX('[1]6MD'!$A:$B,MATCH(A238,'[1]6MD'!$A:$A,0),2),""),"")</f>
        <v/>
      </c>
    </row>
    <row r="239" spans="1:9" ht="30" x14ac:dyDescent="0.25">
      <c r="A239" s="30" t="s">
        <v>398</v>
      </c>
      <c r="B239" s="31" t="s">
        <v>399</v>
      </c>
      <c r="C239" s="31" t="s">
        <v>353</v>
      </c>
      <c r="D239" s="68" t="s">
        <v>400</v>
      </c>
      <c r="E239" s="68"/>
      <c r="F239" s="68"/>
      <c r="G239" s="68"/>
      <c r="H239" s="31" t="s">
        <v>401</v>
      </c>
      <c r="I239" t="str">
        <f>IFERROR(IF(TRIM(A239)&lt;&gt;"",INDEX('[1]6MD'!$A:$B,MATCH(A239,'[1]6MD'!$A:$A,0),2),""),"")</f>
        <v>Отстраивается от времени включения выключателя с коэффициентом 1,5.</v>
      </c>
    </row>
    <row r="240" spans="1:9" x14ac:dyDescent="0.25">
      <c r="A240" s="30" t="s">
        <v>402</v>
      </c>
      <c r="B240" s="31" t="s">
        <v>403</v>
      </c>
      <c r="C240" s="31" t="s">
        <v>371</v>
      </c>
      <c r="D240" s="68" t="s">
        <v>308</v>
      </c>
      <c r="E240" s="68"/>
      <c r="F240" s="68"/>
      <c r="G240" s="68"/>
      <c r="H240" s="31" t="s">
        <v>404</v>
      </c>
      <c r="I240" t="str">
        <f>IFERROR(IF(TRIM(A240)&lt;&gt;"",INDEX('[1]6MD'!$A:$B,MATCH(A240,'[1]6MD'!$A:$A,0),2),""),"")</f>
        <v/>
      </c>
    </row>
    <row r="241" spans="1:9" x14ac:dyDescent="0.25">
      <c r="A241" s="69" t="s">
        <v>405</v>
      </c>
      <c r="B241" s="69"/>
      <c r="C241" s="69"/>
      <c r="D241" s="69"/>
      <c r="E241" s="69"/>
      <c r="F241" s="69"/>
      <c r="G241" s="69"/>
      <c r="H241" s="69"/>
      <c r="I241" t="str">
        <f>IFERROR(IF(TRIM(A241)&lt;&gt;"",INDEX('[1]6MD'!$A:$B,MATCH(A241,'[1]6MD'!$A:$A,0),2),""),"")</f>
        <v/>
      </c>
    </row>
    <row r="242" spans="1:9" x14ac:dyDescent="0.25">
      <c r="A242" s="70" t="s">
        <v>70</v>
      </c>
      <c r="B242" s="70" t="s">
        <v>71</v>
      </c>
      <c r="C242" s="70" t="s">
        <v>72</v>
      </c>
      <c r="D242" s="70" t="s">
        <v>73</v>
      </c>
      <c r="E242" s="70"/>
      <c r="F242" s="70"/>
      <c r="G242" s="70"/>
      <c r="H242" s="70" t="s">
        <v>74</v>
      </c>
      <c r="I242" t="str">
        <f>IFERROR(IF(TRIM(A242)&lt;&gt;"",INDEX('[1]6MD'!$A:$B,MATCH(A242,'[1]6MD'!$A:$A,0),2),""),"")</f>
        <v/>
      </c>
    </row>
    <row r="243" spans="1:9" x14ac:dyDescent="0.25">
      <c r="A243" s="70"/>
      <c r="B243" s="70"/>
      <c r="C243" s="70"/>
      <c r="D243" s="70"/>
      <c r="E243" s="70"/>
      <c r="F243" s="70"/>
      <c r="G243" s="70"/>
      <c r="H243" s="70"/>
      <c r="I243" t="str">
        <f>IFERROR(IF(TRIM(A243)&lt;&gt;"",INDEX('[1]6MD'!$A:$B,MATCH(A243,'[1]6MD'!$A:$A,0),2),""),"")</f>
        <v/>
      </c>
    </row>
    <row r="244" spans="1:9" ht="30" x14ac:dyDescent="0.25">
      <c r="A244" s="30" t="s">
        <v>406</v>
      </c>
      <c r="B244" s="31" t="s">
        <v>405</v>
      </c>
      <c r="C244" s="31" t="s">
        <v>353</v>
      </c>
      <c r="D244" s="68" t="s">
        <v>476</v>
      </c>
      <c r="E244" s="68"/>
      <c r="F244" s="68"/>
      <c r="G244" s="68"/>
      <c r="H244" s="31" t="s">
        <v>407</v>
      </c>
      <c r="I244" t="str">
        <f>IFERROR(IF(TRIM(A244)&lt;&gt;"",INDEX('[1]6MD'!$A:$B,MATCH(A244,'[1]6MD'!$A:$A,0),2),""),"")</f>
        <v>Под звездочку</v>
      </c>
    </row>
    <row r="245" spans="1:9" ht="17.25" x14ac:dyDescent="0.25">
      <c r="A245" s="76" t="s">
        <v>408</v>
      </c>
      <c r="B245" s="76"/>
      <c r="C245" s="76"/>
      <c r="D245" s="76"/>
      <c r="E245" s="76"/>
      <c r="F245" s="76"/>
      <c r="G245" s="76"/>
      <c r="H245" s="76"/>
      <c r="I245" t="str">
        <f>IFERROR(IF(TRIM(A245)&lt;&gt;"",INDEX('[1]6MD'!$A:$B,MATCH(A245,'[1]6MD'!$A:$A,0),2),""),"")</f>
        <v/>
      </c>
    </row>
    <row r="246" spans="1:9" ht="15" customHeight="1" x14ac:dyDescent="0.25">
      <c r="A246" s="70" t="s">
        <v>70</v>
      </c>
      <c r="B246" s="70" t="s">
        <v>71</v>
      </c>
      <c r="C246" s="77" t="s">
        <v>72</v>
      </c>
      <c r="D246" s="79" t="s">
        <v>73</v>
      </c>
      <c r="E246" s="80"/>
      <c r="F246" s="80"/>
      <c r="G246" s="81"/>
      <c r="H246" s="70" t="s">
        <v>74</v>
      </c>
      <c r="I246" t="str">
        <f>IFERROR(IF(TRIM(A246)&lt;&gt;"",INDEX('[1]6MD'!$A:$B,MATCH(A246,'[1]6MD'!$A:$A,0),2),""),"")</f>
        <v/>
      </c>
    </row>
    <row r="247" spans="1:9" x14ac:dyDescent="0.25">
      <c r="A247" s="70"/>
      <c r="B247" s="70"/>
      <c r="C247" s="78"/>
      <c r="D247" s="82"/>
      <c r="E247" s="83"/>
      <c r="F247" s="83"/>
      <c r="G247" s="84"/>
      <c r="H247" s="70"/>
      <c r="I247" t="str">
        <f>IFERROR(IF(TRIM(A247)&lt;&gt;"",INDEX('[1]6MD'!$A:$B,MATCH(A247,'[1]6MD'!$A:$A,0),2),""),"")</f>
        <v/>
      </c>
    </row>
    <row r="248" spans="1:9" ht="60" x14ac:dyDescent="0.25">
      <c r="A248" s="30" t="s">
        <v>409</v>
      </c>
      <c r="B248" s="31" t="s">
        <v>410</v>
      </c>
      <c r="C248" s="31" t="s">
        <v>411</v>
      </c>
      <c r="D248" s="68" t="s">
        <v>412</v>
      </c>
      <c r="E248" s="68"/>
      <c r="F248" s="68"/>
      <c r="G248" s="68"/>
      <c r="H248" s="31" t="s">
        <v>413</v>
      </c>
      <c r="I248" t="str">
        <f>IFERROR(IF(TRIM(A248)&lt;&gt;"",INDEX('[1]6MD'!$A:$B,MATCH(A248,'[1]6MD'!$A:$A,0),2),""),"")</f>
        <v/>
      </c>
    </row>
    <row r="249" spans="1:9" x14ac:dyDescent="0.25">
      <c r="A249" s="30" t="s">
        <v>414</v>
      </c>
      <c r="B249" s="31" t="s">
        <v>415</v>
      </c>
      <c r="C249" s="31" t="s">
        <v>416</v>
      </c>
      <c r="D249" s="68" t="s">
        <v>417</v>
      </c>
      <c r="E249" s="68"/>
      <c r="F249" s="68"/>
      <c r="G249" s="68"/>
      <c r="H249" s="31" t="s">
        <v>418</v>
      </c>
      <c r="I249" t="str">
        <f>IFERROR(IF(TRIM(A249)&lt;&gt;"",INDEX('[1]6MD'!$A:$B,MATCH(A249,'[1]6MD'!$A:$A,0),2),""),"")</f>
        <v/>
      </c>
    </row>
    <row r="250" spans="1:9" x14ac:dyDescent="0.25">
      <c r="A250" s="30" t="s">
        <v>419</v>
      </c>
      <c r="B250" s="31" t="s">
        <v>420</v>
      </c>
      <c r="C250" s="31" t="s">
        <v>421</v>
      </c>
      <c r="D250" s="68" t="s">
        <v>530</v>
      </c>
      <c r="E250" s="68"/>
      <c r="F250" s="68"/>
      <c r="G250" s="68"/>
      <c r="H250" s="31" t="s">
        <v>422</v>
      </c>
      <c r="I250" t="str">
        <f>IFERROR(IF(TRIM(A250)&lt;&gt;"",INDEX('[1]6MD'!$A:$B,MATCH(A250,'[1]6MD'!$A:$A,0),2),""),"")</f>
        <v>Всегда фазное значение. Равно 0,5 номинального фазного напряжения (0.5*(линейные/1,73))</v>
      </c>
    </row>
    <row r="252" spans="1:9" x14ac:dyDescent="0.25">
      <c r="A252" s="75" t="s">
        <v>444</v>
      </c>
      <c r="B252" s="75"/>
      <c r="C252" s="75"/>
      <c r="D252" s="75"/>
      <c r="E252" s="75"/>
      <c r="F252" s="75"/>
      <c r="G252" s="33"/>
      <c r="H252" s="34"/>
    </row>
    <row r="253" spans="1:9" s="60" customFormat="1" ht="15" customHeight="1" x14ac:dyDescent="0.25">
      <c r="A253" s="56" t="s">
        <v>445</v>
      </c>
      <c r="B253" s="57"/>
      <c r="C253" s="57"/>
      <c r="D253" s="57"/>
      <c r="E253" s="57"/>
      <c r="F253" s="57"/>
      <c r="G253" s="58"/>
      <c r="H253" s="59"/>
    </row>
    <row r="254" spans="1:9" s="60" customFormat="1" ht="15" customHeight="1" x14ac:dyDescent="0.25">
      <c r="A254" s="61" t="s">
        <v>446</v>
      </c>
      <c r="B254" s="67" t="s">
        <v>447</v>
      </c>
      <c r="C254" s="67"/>
      <c r="D254" s="67"/>
      <c r="E254" s="67"/>
      <c r="F254" s="67"/>
      <c r="G254" s="67"/>
      <c r="H254" s="67"/>
    </row>
    <row r="255" spans="1:9" s="60" customFormat="1" ht="15" customHeight="1" x14ac:dyDescent="0.25">
      <c r="A255" s="62"/>
      <c r="B255" s="67" t="s">
        <v>448</v>
      </c>
      <c r="C255" s="67"/>
      <c r="D255" s="67"/>
      <c r="E255" s="67"/>
      <c r="F255" s="67"/>
      <c r="G255" s="67"/>
      <c r="H255" s="67"/>
    </row>
    <row r="256" spans="1:9" s="60" customFormat="1" ht="15" customHeight="1" x14ac:dyDescent="0.25">
      <c r="A256" s="62"/>
      <c r="B256" s="67" t="s">
        <v>449</v>
      </c>
      <c r="C256" s="67"/>
      <c r="D256" s="67"/>
      <c r="E256" s="67"/>
      <c r="F256" s="67"/>
      <c r="G256" s="67"/>
      <c r="H256" s="67"/>
    </row>
    <row r="257" spans="1:8" s="60" customFormat="1" ht="15" customHeight="1" x14ac:dyDescent="0.25">
      <c r="A257" s="62"/>
      <c r="B257" s="67" t="s">
        <v>488</v>
      </c>
      <c r="C257" s="67"/>
      <c r="D257" s="67"/>
      <c r="E257" s="67"/>
      <c r="F257" s="67"/>
      <c r="G257" s="67"/>
      <c r="H257" s="67"/>
    </row>
    <row r="258" spans="1:8" s="60" customFormat="1" ht="15" customHeight="1" x14ac:dyDescent="0.25">
      <c r="A258" s="62"/>
      <c r="B258" s="67" t="s">
        <v>489</v>
      </c>
      <c r="C258" s="67"/>
      <c r="D258" s="67"/>
      <c r="E258" s="67"/>
      <c r="F258" s="67"/>
      <c r="G258" s="67"/>
      <c r="H258" s="67"/>
    </row>
    <row r="259" spans="1:8" s="60" customFormat="1" ht="15" customHeight="1" x14ac:dyDescent="0.25">
      <c r="A259" s="62"/>
      <c r="B259" s="67" t="s">
        <v>450</v>
      </c>
      <c r="C259" s="67"/>
      <c r="D259" s="67"/>
      <c r="E259" s="67"/>
      <c r="F259" s="67"/>
      <c r="G259" s="67"/>
      <c r="H259" s="67"/>
    </row>
    <row r="260" spans="1:8" s="60" customFormat="1" ht="15" customHeight="1" x14ac:dyDescent="0.25">
      <c r="A260" s="61" t="s">
        <v>446</v>
      </c>
      <c r="B260" s="67" t="s">
        <v>451</v>
      </c>
      <c r="C260" s="67"/>
      <c r="D260" s="67"/>
      <c r="E260" s="67"/>
      <c r="F260" s="67"/>
      <c r="G260" s="67"/>
      <c r="H260" s="67"/>
    </row>
    <row r="261" spans="1:8" s="60" customFormat="1" ht="15" customHeight="1" x14ac:dyDescent="0.25">
      <c r="A261" s="61" t="s">
        <v>446</v>
      </c>
      <c r="B261" s="67" t="s">
        <v>542</v>
      </c>
      <c r="C261" s="67"/>
      <c r="D261" s="67"/>
      <c r="E261" s="67"/>
      <c r="F261" s="67"/>
      <c r="G261" s="67"/>
      <c r="H261" s="67"/>
    </row>
    <row r="262" spans="1:8" ht="15" customHeight="1" x14ac:dyDescent="0.25">
      <c r="A262" s="35"/>
      <c r="B262" s="50"/>
      <c r="C262" s="50"/>
      <c r="D262" s="50"/>
      <c r="E262" s="50"/>
      <c r="F262" s="50"/>
      <c r="G262" s="50"/>
      <c r="H262" s="36"/>
    </row>
    <row r="264" spans="1:8" x14ac:dyDescent="0.25">
      <c r="A264" s="3"/>
      <c r="B264" s="42" t="s">
        <v>481</v>
      </c>
      <c r="C264" s="43"/>
    </row>
    <row r="265" spans="1:8" x14ac:dyDescent="0.25">
      <c r="A265" s="3"/>
      <c r="B265" s="42" t="s">
        <v>482</v>
      </c>
      <c r="C265" s="44"/>
    </row>
    <row r="266" spans="1:8" x14ac:dyDescent="0.25">
      <c r="A266" s="3"/>
      <c r="B266" s="45"/>
      <c r="C266" s="45"/>
    </row>
    <row r="267" spans="1:8" x14ac:dyDescent="0.25">
      <c r="A267" s="3"/>
      <c r="B267" s="46" t="s">
        <v>483</v>
      </c>
      <c r="C267" s="63" t="s">
        <v>543</v>
      </c>
    </row>
    <row r="268" spans="1:8" x14ac:dyDescent="0.25">
      <c r="A268" s="3"/>
      <c r="B268" s="47" t="s">
        <v>484</v>
      </c>
      <c r="C268" s="63" t="s">
        <v>544</v>
      </c>
    </row>
  </sheetData>
  <mergeCells count="342">
    <mergeCell ref="C246:C247"/>
    <mergeCell ref="D246:G247"/>
    <mergeCell ref="D110:G110"/>
    <mergeCell ref="D111:G111"/>
    <mergeCell ref="C122:C123"/>
    <mergeCell ref="D122:G123"/>
    <mergeCell ref="C135:C136"/>
    <mergeCell ref="D135:G136"/>
    <mergeCell ref="C140:C141"/>
    <mergeCell ref="D140:G141"/>
    <mergeCell ref="C156:C157"/>
    <mergeCell ref="D156:G157"/>
    <mergeCell ref="A112:H112"/>
    <mergeCell ref="A113:H113"/>
    <mergeCell ref="D116:G116"/>
    <mergeCell ref="D117:G117"/>
    <mergeCell ref="D118:G118"/>
    <mergeCell ref="D119:G119"/>
    <mergeCell ref="D120:G120"/>
    <mergeCell ref="A114:A115"/>
    <mergeCell ref="B114:B115"/>
    <mergeCell ref="C114:C115"/>
    <mergeCell ref="D114:G115"/>
    <mergeCell ref="H114:H115"/>
    <mergeCell ref="D104:G104"/>
    <mergeCell ref="A105:H105"/>
    <mergeCell ref="A106:A107"/>
    <mergeCell ref="B106:B107"/>
    <mergeCell ref="C106:C107"/>
    <mergeCell ref="D106:G107"/>
    <mergeCell ref="H106:H107"/>
    <mergeCell ref="D108:G108"/>
    <mergeCell ref="D109:G109"/>
    <mergeCell ref="D98:G98"/>
    <mergeCell ref="D99:G99"/>
    <mergeCell ref="A100:H100"/>
    <mergeCell ref="A101:A102"/>
    <mergeCell ref="B101:B102"/>
    <mergeCell ref="C101:C102"/>
    <mergeCell ref="D101:G102"/>
    <mergeCell ref="H101:H102"/>
    <mergeCell ref="D103:G103"/>
    <mergeCell ref="C88:C89"/>
    <mergeCell ref="D88:G89"/>
    <mergeCell ref="H88:H89"/>
    <mergeCell ref="D90:G90"/>
    <mergeCell ref="D91:G91"/>
    <mergeCell ref="D92:G92"/>
    <mergeCell ref="D93:G93"/>
    <mergeCell ref="A79:H79"/>
    <mergeCell ref="A80:H80"/>
    <mergeCell ref="D81:G81"/>
    <mergeCell ref="D82:G82"/>
    <mergeCell ref="D83:G83"/>
    <mergeCell ref="D84:G84"/>
    <mergeCell ref="D85:G85"/>
    <mergeCell ref="D86:G86"/>
    <mergeCell ref="A87:H87"/>
    <mergeCell ref="D94:G94"/>
    <mergeCell ref="D95:G95"/>
    <mergeCell ref="D96:G96"/>
    <mergeCell ref="D97:G97"/>
    <mergeCell ref="A9:H9"/>
    <mergeCell ref="D30:G30"/>
    <mergeCell ref="D31:G31"/>
    <mergeCell ref="A10:A11"/>
    <mergeCell ref="B10:B11"/>
    <mergeCell ref="C10:C11"/>
    <mergeCell ref="D10:G11"/>
    <mergeCell ref="H10:H11"/>
    <mergeCell ref="D21:G21"/>
    <mergeCell ref="D22:G22"/>
    <mergeCell ref="D23:G23"/>
    <mergeCell ref="D24:G24"/>
    <mergeCell ref="D25:G25"/>
    <mergeCell ref="D26:G26"/>
    <mergeCell ref="D27:G27"/>
    <mergeCell ref="D28:G28"/>
    <mergeCell ref="D29:G29"/>
    <mergeCell ref="D12:G12"/>
    <mergeCell ref="A88:A89"/>
    <mergeCell ref="B88:B89"/>
    <mergeCell ref="D13:G13"/>
    <mergeCell ref="D14:G14"/>
    <mergeCell ref="D15:G15"/>
    <mergeCell ref="D16:G16"/>
    <mergeCell ref="D17:G17"/>
    <mergeCell ref="D18:G18"/>
    <mergeCell ref="D19:G19"/>
    <mergeCell ref="A32:H32"/>
    <mergeCell ref="A33:H33"/>
    <mergeCell ref="H34:H35"/>
    <mergeCell ref="D20:G20"/>
    <mergeCell ref="A41:H41"/>
    <mergeCell ref="D44:G44"/>
    <mergeCell ref="D45:G45"/>
    <mergeCell ref="A42:A43"/>
    <mergeCell ref="B42:B43"/>
    <mergeCell ref="C42:C43"/>
    <mergeCell ref="D42:G43"/>
    <mergeCell ref="H42:H43"/>
    <mergeCell ref="D36:G36"/>
    <mergeCell ref="D37:G37"/>
    <mergeCell ref="D38:G38"/>
    <mergeCell ref="D39:G39"/>
    <mergeCell ref="D40:G40"/>
    <mergeCell ref="A34:A35"/>
    <mergeCell ref="B34:B35"/>
    <mergeCell ref="C34:C35"/>
    <mergeCell ref="D34:G35"/>
    <mergeCell ref="A46:H46"/>
    <mergeCell ref="A47:H47"/>
    <mergeCell ref="D50:G50"/>
    <mergeCell ref="H48:H49"/>
    <mergeCell ref="D51:G51"/>
    <mergeCell ref="D52:G52"/>
    <mergeCell ref="D53:G53"/>
    <mergeCell ref="D54:G54"/>
    <mergeCell ref="D55:G55"/>
    <mergeCell ref="A48:A49"/>
    <mergeCell ref="B48:B49"/>
    <mergeCell ref="C48:C49"/>
    <mergeCell ref="D48:G49"/>
    <mergeCell ref="A56:H56"/>
    <mergeCell ref="D59:G59"/>
    <mergeCell ref="D60:G60"/>
    <mergeCell ref="D61:G61"/>
    <mergeCell ref="A57:A58"/>
    <mergeCell ref="B57:B58"/>
    <mergeCell ref="H57:H58"/>
    <mergeCell ref="C57:C58"/>
    <mergeCell ref="D57:G58"/>
    <mergeCell ref="A62:H62"/>
    <mergeCell ref="A63:H63"/>
    <mergeCell ref="D66:G66"/>
    <mergeCell ref="A64:A65"/>
    <mergeCell ref="B64:B65"/>
    <mergeCell ref="C64:C65"/>
    <mergeCell ref="D64:G65"/>
    <mergeCell ref="H64:H65"/>
    <mergeCell ref="A67:H67"/>
    <mergeCell ref="A74:H74"/>
    <mergeCell ref="D77:G77"/>
    <mergeCell ref="D78:G78"/>
    <mergeCell ref="A75:A76"/>
    <mergeCell ref="B75:B76"/>
    <mergeCell ref="C75:C76"/>
    <mergeCell ref="D75:G76"/>
    <mergeCell ref="H75:H76"/>
    <mergeCell ref="A68:H68"/>
    <mergeCell ref="D71:G71"/>
    <mergeCell ref="D72:G72"/>
    <mergeCell ref="A69:A70"/>
    <mergeCell ref="B69:B70"/>
    <mergeCell ref="C69:C70"/>
    <mergeCell ref="D69:G70"/>
    <mergeCell ref="H69:H70"/>
    <mergeCell ref="A73:H73"/>
    <mergeCell ref="A121:H121"/>
    <mergeCell ref="D125:G125"/>
    <mergeCell ref="D126:G126"/>
    <mergeCell ref="D127:G127"/>
    <mergeCell ref="D128:G128"/>
    <mergeCell ref="D129:G129"/>
    <mergeCell ref="D130:G130"/>
    <mergeCell ref="D131:G131"/>
    <mergeCell ref="D132:G132"/>
    <mergeCell ref="D133:G133"/>
    <mergeCell ref="A122:A123"/>
    <mergeCell ref="B122:B123"/>
    <mergeCell ref="H122:H123"/>
    <mergeCell ref="A134:H134"/>
    <mergeCell ref="D137:G137"/>
    <mergeCell ref="D138:G138"/>
    <mergeCell ref="A135:A136"/>
    <mergeCell ref="B135:B136"/>
    <mergeCell ref="H135:H136"/>
    <mergeCell ref="A139:H139"/>
    <mergeCell ref="D142:G142"/>
    <mergeCell ref="D143:G143"/>
    <mergeCell ref="D144:G144"/>
    <mergeCell ref="D145:G145"/>
    <mergeCell ref="A140:A141"/>
    <mergeCell ref="B140:B141"/>
    <mergeCell ref="H140:H141"/>
    <mergeCell ref="A146:H146"/>
    <mergeCell ref="A147:H147"/>
    <mergeCell ref="D150:G150"/>
    <mergeCell ref="D151:G151"/>
    <mergeCell ref="D152:G152"/>
    <mergeCell ref="D153:G153"/>
    <mergeCell ref="D154:G154"/>
    <mergeCell ref="A148:A149"/>
    <mergeCell ref="B148:B149"/>
    <mergeCell ref="C148:C149"/>
    <mergeCell ref="D148:G149"/>
    <mergeCell ref="H148:H149"/>
    <mergeCell ref="A155:H155"/>
    <mergeCell ref="D159:G159"/>
    <mergeCell ref="D160:G160"/>
    <mergeCell ref="D161:G161"/>
    <mergeCell ref="D162:G162"/>
    <mergeCell ref="D163:G163"/>
    <mergeCell ref="D164:G164"/>
    <mergeCell ref="D165:G165"/>
    <mergeCell ref="D166:G166"/>
    <mergeCell ref="D167:G167"/>
    <mergeCell ref="A156:A157"/>
    <mergeCell ref="B156:B157"/>
    <mergeCell ref="H156:H157"/>
    <mergeCell ref="A168:H168"/>
    <mergeCell ref="D171:G171"/>
    <mergeCell ref="D172:G172"/>
    <mergeCell ref="A169:A170"/>
    <mergeCell ref="B169:B170"/>
    <mergeCell ref="H169:H170"/>
    <mergeCell ref="C169:C170"/>
    <mergeCell ref="D169:G170"/>
    <mergeCell ref="A173:H173"/>
    <mergeCell ref="D176:G176"/>
    <mergeCell ref="D177:G177"/>
    <mergeCell ref="D178:G178"/>
    <mergeCell ref="D179:G179"/>
    <mergeCell ref="A174:A175"/>
    <mergeCell ref="B174:B175"/>
    <mergeCell ref="H174:H175"/>
    <mergeCell ref="C174:C175"/>
    <mergeCell ref="D174:G175"/>
    <mergeCell ref="A180:H180"/>
    <mergeCell ref="A181:H181"/>
    <mergeCell ref="D184:G184"/>
    <mergeCell ref="D185:G185"/>
    <mergeCell ref="D186:G186"/>
    <mergeCell ref="D187:G187"/>
    <mergeCell ref="D188:G188"/>
    <mergeCell ref="D189:G189"/>
    <mergeCell ref="D190:G190"/>
    <mergeCell ref="D191:G191"/>
    <mergeCell ref="D194:G194"/>
    <mergeCell ref="D195:G195"/>
    <mergeCell ref="A182:A183"/>
    <mergeCell ref="B182:B183"/>
    <mergeCell ref="C182:C183"/>
    <mergeCell ref="D182:G183"/>
    <mergeCell ref="H182:H183"/>
    <mergeCell ref="A196:H196"/>
    <mergeCell ref="D199:G199"/>
    <mergeCell ref="D200:G200"/>
    <mergeCell ref="D201:G201"/>
    <mergeCell ref="D202:G202"/>
    <mergeCell ref="A197:A198"/>
    <mergeCell ref="B197:B198"/>
    <mergeCell ref="C197:C198"/>
    <mergeCell ref="D197:G198"/>
    <mergeCell ref="H197:H198"/>
    <mergeCell ref="A203:H203"/>
    <mergeCell ref="D206:G206"/>
    <mergeCell ref="D207:G207"/>
    <mergeCell ref="D208:G208"/>
    <mergeCell ref="D209:G209"/>
    <mergeCell ref="D210:G210"/>
    <mergeCell ref="A204:A205"/>
    <mergeCell ref="B204:B205"/>
    <mergeCell ref="H204:H205"/>
    <mergeCell ref="C204:C205"/>
    <mergeCell ref="D204:G205"/>
    <mergeCell ref="D225:G225"/>
    <mergeCell ref="A221:A222"/>
    <mergeCell ref="B221:B222"/>
    <mergeCell ref="C221:C222"/>
    <mergeCell ref="D221:G222"/>
    <mergeCell ref="H221:H222"/>
    <mergeCell ref="A211:H211"/>
    <mergeCell ref="A212:H212"/>
    <mergeCell ref="D215:G215"/>
    <mergeCell ref="D216:G216"/>
    <mergeCell ref="D217:G217"/>
    <mergeCell ref="D218:G218"/>
    <mergeCell ref="D219:G219"/>
    <mergeCell ref="A213:A214"/>
    <mergeCell ref="B213:B214"/>
    <mergeCell ref="H213:H214"/>
    <mergeCell ref="C213:C214"/>
    <mergeCell ref="D213:G214"/>
    <mergeCell ref="A232:A233"/>
    <mergeCell ref="B232:B233"/>
    <mergeCell ref="C232:C233"/>
    <mergeCell ref="D232:G233"/>
    <mergeCell ref="H232:H233"/>
    <mergeCell ref="A236:H236"/>
    <mergeCell ref="D239:G239"/>
    <mergeCell ref="A242:A243"/>
    <mergeCell ref="B242:B243"/>
    <mergeCell ref="C242:C243"/>
    <mergeCell ref="B254:H254"/>
    <mergeCell ref="A5:H5"/>
    <mergeCell ref="A6:H6"/>
    <mergeCell ref="A7:H7"/>
    <mergeCell ref="A8:H8"/>
    <mergeCell ref="A252:F252"/>
    <mergeCell ref="A245:H245"/>
    <mergeCell ref="D248:G248"/>
    <mergeCell ref="D249:G249"/>
    <mergeCell ref="D250:G250"/>
    <mergeCell ref="A246:A247"/>
    <mergeCell ref="B246:B247"/>
    <mergeCell ref="H246:H247"/>
    <mergeCell ref="D240:G240"/>
    <mergeCell ref="A237:A238"/>
    <mergeCell ref="B237:B238"/>
    <mergeCell ref="C237:C238"/>
    <mergeCell ref="D237:G238"/>
    <mergeCell ref="H237:H238"/>
    <mergeCell ref="A241:H241"/>
    <mergeCell ref="D242:G243"/>
    <mergeCell ref="H242:H243"/>
    <mergeCell ref="D234:G234"/>
    <mergeCell ref="D235:G235"/>
    <mergeCell ref="B255:H255"/>
    <mergeCell ref="B256:H256"/>
    <mergeCell ref="B257:H257"/>
    <mergeCell ref="B258:H258"/>
    <mergeCell ref="B259:H259"/>
    <mergeCell ref="B260:H260"/>
    <mergeCell ref="B261:H261"/>
    <mergeCell ref="D124:G124"/>
    <mergeCell ref="D158:G158"/>
    <mergeCell ref="D192:G192"/>
    <mergeCell ref="D193:G193"/>
    <mergeCell ref="D244:G244"/>
    <mergeCell ref="A226:H226"/>
    <mergeCell ref="D229:G229"/>
    <mergeCell ref="D230:G230"/>
    <mergeCell ref="A227:A228"/>
    <mergeCell ref="B227:B228"/>
    <mergeCell ref="C227:C228"/>
    <mergeCell ref="D227:G228"/>
    <mergeCell ref="H227:H228"/>
    <mergeCell ref="A231:H231"/>
    <mergeCell ref="A220:H220"/>
    <mergeCell ref="D223:G223"/>
    <mergeCell ref="D224:G224"/>
  </mergeCells>
  <hyperlinks>
    <hyperlink ref="C267" r:id="rId1" display="../../../../Дела СРЗА/19 Переписка/19.7 По расчету уставок/2022/2022-08-01 Самопроверка/2022-08-01  Об уставках РЗА(5305960_Р45-б1-V-19-1132_01_08_2022).docx"/>
    <hyperlink ref="C268" r:id="rId2" display="../../../../Дела СРЗА/19 Переписка/19.7 По расчету уставок/19.7-1 Переписка по исполнению уставок/2022/входящие/2022-08-02 от ППМЭС об исп уставок (5306944_вх-2163_02_08_2022).pdf"/>
  </hyperlinks>
  <pageMargins left="0.39370078740157483" right="0.39370078740157483" top="0.59055118110236227" bottom="0.59055118110236227" header="0.11811023622047245" footer="0.11811023622047245"/>
  <pageSetup scale="93" fitToHeight="0" orientation="landscape" r:id="rId3"/>
  <headerFooter>
    <oddFooter>&amp;R&amp;F
&amp;P</oddFooter>
  </headerFooter>
  <rowBreaks count="3" manualBreakCount="3">
    <brk id="31" max="7" man="1"/>
    <brk id="111" max="7" man="1"/>
    <brk id="138" max="7" man="1"/>
  </rowBreaks>
  <drawing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vt:i4>
      </vt:variant>
    </vt:vector>
  </HeadingPairs>
  <TitlesOfParts>
    <vt:vector size="4" baseType="lpstr">
      <vt:lpstr>Задание</vt:lpstr>
      <vt:lpstr>ТУ</vt:lpstr>
      <vt:lpstr>Задание!Область_печати</vt:lpstr>
      <vt:lpstr>ТУ!Область_печати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Юрченко Ольга Анатольевна</dc:creator>
  <cp:lastModifiedBy>Клемент Артур Робертович</cp:lastModifiedBy>
  <cp:lastPrinted>2019-04-12T00:27:08Z</cp:lastPrinted>
  <dcterms:created xsi:type="dcterms:W3CDTF">2018-12-11T01:28:44Z</dcterms:created>
  <dcterms:modified xsi:type="dcterms:W3CDTF">2024-11-14T05:25:09Z</dcterms:modified>
</cp:coreProperties>
</file>