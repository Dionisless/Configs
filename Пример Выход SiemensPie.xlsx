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Prim-fs-serv\RDU\СРЗА\Объекты\Аэропорт\Файлы конфигурации\Аэропорт ВT1-220 6MD664 (2019-06-28, Козубина)\"/>
    </mc:Choice>
  </mc:AlternateContent>
  <bookViews>
    <workbookView xWindow="240" yWindow="15" windowWidth="16095" windowHeight="9660"/>
  </bookViews>
  <sheets>
    <sheet name="Sheet1" sheetId="1" r:id="rId1"/>
  </sheets>
  <externalReferences>
    <externalReference r:id="rId2"/>
  </externalReferences>
  <calcPr calcId="162913"/>
</workbook>
</file>

<file path=xl/calcChain.xml><?xml version="1.0" encoding="utf-8"?>
<calcChain xmlns="http://schemas.openxmlformats.org/spreadsheetml/2006/main">
  <c r="I9" i="1" l="1"/>
  <c r="M9" i="1" s="1"/>
  <c r="J9" i="1"/>
  <c r="N9" i="1" s="1"/>
  <c r="K9" i="1"/>
  <c r="O9" i="1" s="1"/>
  <c r="L9" i="1"/>
  <c r="P9" i="1" s="1"/>
  <c r="I10" i="1"/>
  <c r="M10" i="1" s="1"/>
  <c r="J10" i="1"/>
  <c r="N10" i="1" s="1"/>
  <c r="K10" i="1"/>
  <c r="O10" i="1" s="1"/>
  <c r="L10" i="1"/>
  <c r="P10" i="1" s="1"/>
  <c r="I11" i="1"/>
  <c r="M11" i="1" s="1"/>
  <c r="J11" i="1"/>
  <c r="N11" i="1" s="1"/>
  <c r="K11" i="1"/>
  <c r="O11" i="1" s="1"/>
  <c r="L11" i="1"/>
  <c r="P11" i="1" s="1"/>
  <c r="I12" i="1"/>
  <c r="M12" i="1" s="1"/>
  <c r="J12" i="1"/>
  <c r="N12" i="1" s="1"/>
  <c r="K12" i="1"/>
  <c r="O12" i="1" s="1"/>
  <c r="L12" i="1"/>
  <c r="P12" i="1" s="1"/>
  <c r="I13" i="1"/>
  <c r="M13" i="1" s="1"/>
  <c r="J13" i="1"/>
  <c r="N13" i="1" s="1"/>
  <c r="K13" i="1"/>
  <c r="O13" i="1" s="1"/>
  <c r="L13" i="1"/>
  <c r="P13" i="1" s="1"/>
  <c r="I14" i="1"/>
  <c r="M14" i="1" s="1"/>
  <c r="J14" i="1"/>
  <c r="N14" i="1" s="1"/>
  <c r="K14" i="1"/>
  <c r="O14" i="1" s="1"/>
  <c r="L14" i="1"/>
  <c r="P14" i="1" s="1"/>
  <c r="I15" i="1"/>
  <c r="M15" i="1" s="1"/>
  <c r="J15" i="1"/>
  <c r="N15" i="1" s="1"/>
  <c r="K15" i="1"/>
  <c r="O15" i="1" s="1"/>
  <c r="L15" i="1"/>
  <c r="P15" i="1" s="1"/>
  <c r="I16" i="1"/>
  <c r="M16" i="1" s="1"/>
  <c r="J16" i="1"/>
  <c r="N16" i="1" s="1"/>
  <c r="K16" i="1"/>
  <c r="O16" i="1" s="1"/>
  <c r="L16" i="1"/>
  <c r="P16" i="1" s="1"/>
  <c r="I17" i="1"/>
  <c r="M17" i="1" s="1"/>
  <c r="J17" i="1"/>
  <c r="N17" i="1" s="1"/>
  <c r="K17" i="1"/>
  <c r="O17" i="1" s="1"/>
  <c r="L17" i="1"/>
  <c r="P17" i="1"/>
  <c r="I18" i="1"/>
  <c r="M18" i="1" s="1"/>
  <c r="J18" i="1"/>
  <c r="N18" i="1" s="1"/>
  <c r="K18" i="1"/>
  <c r="O18" i="1" s="1"/>
  <c r="L18" i="1"/>
  <c r="P18" i="1"/>
  <c r="I19" i="1"/>
  <c r="M19" i="1" s="1"/>
  <c r="J19" i="1"/>
  <c r="N19" i="1" s="1"/>
  <c r="K19" i="1"/>
  <c r="O19" i="1" s="1"/>
  <c r="L19" i="1"/>
  <c r="P19" i="1"/>
  <c r="I20" i="1"/>
  <c r="M20" i="1" s="1"/>
  <c r="J20" i="1"/>
  <c r="N20" i="1" s="1"/>
  <c r="K20" i="1"/>
  <c r="O20" i="1" s="1"/>
  <c r="L20" i="1"/>
  <c r="P20" i="1" s="1"/>
  <c r="I21" i="1"/>
  <c r="M21" i="1" s="1"/>
  <c r="J21" i="1"/>
  <c r="N21" i="1" s="1"/>
  <c r="K21" i="1"/>
  <c r="O21" i="1" s="1"/>
  <c r="L21" i="1"/>
  <c r="P21" i="1" s="1"/>
  <c r="I22" i="1"/>
  <c r="M22" i="1" s="1"/>
  <c r="J22" i="1"/>
  <c r="N22" i="1" s="1"/>
  <c r="K22" i="1"/>
  <c r="O22" i="1" s="1"/>
  <c r="L22" i="1"/>
  <c r="P22" i="1" s="1"/>
  <c r="I23" i="1"/>
  <c r="M23" i="1" s="1"/>
  <c r="J23" i="1"/>
  <c r="N23" i="1" s="1"/>
  <c r="K23" i="1"/>
  <c r="O23" i="1" s="1"/>
  <c r="L23" i="1"/>
  <c r="P23" i="1" s="1"/>
  <c r="I24" i="1"/>
  <c r="M24" i="1" s="1"/>
  <c r="J24" i="1"/>
  <c r="N24" i="1" s="1"/>
  <c r="K24" i="1"/>
  <c r="O24" i="1" s="1"/>
  <c r="L24" i="1"/>
  <c r="P24" i="1" s="1"/>
  <c r="I25" i="1"/>
  <c r="M25" i="1" s="1"/>
  <c r="J25" i="1"/>
  <c r="N25" i="1" s="1"/>
  <c r="K25" i="1"/>
  <c r="O25" i="1" s="1"/>
  <c r="L25" i="1"/>
  <c r="P25" i="1"/>
  <c r="I26" i="1"/>
  <c r="M26" i="1" s="1"/>
  <c r="J26" i="1"/>
  <c r="N26" i="1" s="1"/>
  <c r="K26" i="1"/>
  <c r="O26" i="1" s="1"/>
  <c r="L26" i="1"/>
  <c r="P26" i="1"/>
  <c r="I27" i="1"/>
  <c r="M27" i="1" s="1"/>
  <c r="J27" i="1"/>
  <c r="N27" i="1" s="1"/>
  <c r="K27" i="1"/>
  <c r="O27" i="1" s="1"/>
  <c r="L27" i="1"/>
  <c r="P27" i="1"/>
  <c r="I28" i="1"/>
  <c r="M28" i="1" s="1"/>
  <c r="J28" i="1"/>
  <c r="N28" i="1" s="1"/>
  <c r="K28" i="1"/>
  <c r="O28" i="1" s="1"/>
  <c r="L28" i="1"/>
  <c r="P28" i="1" s="1"/>
  <c r="I29" i="1"/>
  <c r="M29" i="1" s="1"/>
  <c r="J29" i="1"/>
  <c r="N29" i="1" s="1"/>
  <c r="K29" i="1"/>
  <c r="O29" i="1" s="1"/>
  <c r="L29" i="1"/>
  <c r="P29" i="1" s="1"/>
  <c r="I30" i="1"/>
  <c r="M30" i="1" s="1"/>
  <c r="J30" i="1"/>
  <c r="N30" i="1" s="1"/>
  <c r="K30" i="1"/>
  <c r="O30" i="1" s="1"/>
  <c r="L30" i="1"/>
  <c r="P30" i="1" s="1"/>
  <c r="I31" i="1"/>
  <c r="J31" i="1"/>
  <c r="K31" i="1"/>
  <c r="L31" i="1"/>
  <c r="M31" i="1"/>
  <c r="N31" i="1"/>
  <c r="O31" i="1"/>
  <c r="P31" i="1"/>
  <c r="I32" i="1"/>
  <c r="M32" i="1" s="1"/>
  <c r="J32" i="1"/>
  <c r="N32" i="1" s="1"/>
  <c r="K32" i="1"/>
  <c r="O32" i="1" s="1"/>
  <c r="L32" i="1"/>
  <c r="P32" i="1" s="1"/>
  <c r="I33" i="1"/>
  <c r="M33" i="1" s="1"/>
  <c r="J33" i="1"/>
  <c r="N33" i="1" s="1"/>
  <c r="K33" i="1"/>
  <c r="O33" i="1" s="1"/>
  <c r="L33" i="1"/>
  <c r="P33" i="1" s="1"/>
  <c r="I34" i="1"/>
  <c r="M34" i="1" s="1"/>
  <c r="J34" i="1"/>
  <c r="N34" i="1" s="1"/>
  <c r="K34" i="1"/>
  <c r="O34" i="1" s="1"/>
  <c r="L34" i="1"/>
  <c r="P34" i="1" s="1"/>
  <c r="I35" i="1"/>
  <c r="M35" i="1" s="1"/>
  <c r="J35" i="1"/>
  <c r="N35" i="1" s="1"/>
  <c r="K35" i="1"/>
  <c r="O35" i="1" s="1"/>
  <c r="L35" i="1"/>
  <c r="P35" i="1" s="1"/>
  <c r="I36" i="1"/>
  <c r="M36" i="1" s="1"/>
  <c r="J36" i="1"/>
  <c r="N36" i="1" s="1"/>
  <c r="K36" i="1"/>
  <c r="O36" i="1" s="1"/>
  <c r="L36" i="1"/>
  <c r="P36" i="1" s="1"/>
  <c r="I37" i="1"/>
  <c r="M37" i="1" s="1"/>
  <c r="J37" i="1"/>
  <c r="N37" i="1" s="1"/>
  <c r="K37" i="1"/>
  <c r="O37" i="1" s="1"/>
  <c r="L37" i="1"/>
  <c r="P37" i="1" s="1"/>
  <c r="I38" i="1"/>
  <c r="M38" i="1" s="1"/>
  <c r="J38" i="1"/>
  <c r="N38" i="1" s="1"/>
  <c r="K38" i="1"/>
  <c r="O38" i="1" s="1"/>
  <c r="L38" i="1"/>
  <c r="P38" i="1" s="1"/>
  <c r="I39" i="1"/>
  <c r="J39" i="1"/>
  <c r="K39" i="1"/>
  <c r="L39" i="1"/>
  <c r="M39" i="1"/>
  <c r="N39" i="1"/>
  <c r="O39" i="1"/>
  <c r="P39" i="1"/>
  <c r="I40" i="1"/>
  <c r="M40" i="1" s="1"/>
  <c r="J40" i="1"/>
  <c r="N40" i="1" s="1"/>
  <c r="K40" i="1"/>
  <c r="O40" i="1" s="1"/>
  <c r="L40" i="1"/>
  <c r="P40" i="1" s="1"/>
  <c r="I41" i="1"/>
  <c r="M41" i="1" s="1"/>
  <c r="J41" i="1"/>
  <c r="N41" i="1" s="1"/>
  <c r="K41" i="1"/>
  <c r="O41" i="1" s="1"/>
  <c r="L41" i="1"/>
  <c r="P41" i="1" s="1"/>
  <c r="I42" i="1"/>
  <c r="M42" i="1" s="1"/>
  <c r="J42" i="1"/>
  <c r="N42" i="1" s="1"/>
  <c r="K42" i="1"/>
  <c r="O42" i="1" s="1"/>
  <c r="L42" i="1"/>
  <c r="P42" i="1" s="1"/>
  <c r="I43" i="1"/>
  <c r="M43" i="1" s="1"/>
  <c r="J43" i="1"/>
  <c r="N43" i="1" s="1"/>
  <c r="K43" i="1"/>
  <c r="O43" i="1" s="1"/>
  <c r="L43" i="1"/>
  <c r="P43" i="1" s="1"/>
  <c r="I44" i="1"/>
  <c r="M44" i="1" s="1"/>
  <c r="J44" i="1"/>
  <c r="N44" i="1" s="1"/>
  <c r="K44" i="1"/>
  <c r="O44" i="1" s="1"/>
  <c r="L44" i="1"/>
  <c r="P44" i="1" s="1"/>
  <c r="I45" i="1"/>
  <c r="M45" i="1" s="1"/>
  <c r="J45" i="1"/>
  <c r="N45" i="1" s="1"/>
  <c r="K45" i="1"/>
  <c r="O45" i="1" s="1"/>
  <c r="L45" i="1"/>
  <c r="P45" i="1" s="1"/>
  <c r="I46" i="1"/>
  <c r="M46" i="1" s="1"/>
  <c r="J46" i="1"/>
  <c r="N46" i="1" s="1"/>
  <c r="K46" i="1"/>
  <c r="O46" i="1" s="1"/>
  <c r="L46" i="1"/>
  <c r="P46" i="1" s="1"/>
  <c r="I47" i="1"/>
  <c r="J47" i="1"/>
  <c r="K47" i="1"/>
  <c r="L47" i="1"/>
  <c r="M47" i="1"/>
  <c r="N47" i="1"/>
  <c r="O47" i="1"/>
  <c r="P47" i="1"/>
  <c r="I48" i="1"/>
  <c r="M48" i="1" s="1"/>
  <c r="J48" i="1"/>
  <c r="N48" i="1" s="1"/>
  <c r="K48" i="1"/>
  <c r="O48" i="1" s="1"/>
  <c r="L48" i="1"/>
  <c r="P48" i="1" s="1"/>
  <c r="I49" i="1"/>
  <c r="M49" i="1" s="1"/>
  <c r="J49" i="1"/>
  <c r="N49" i="1" s="1"/>
  <c r="K49" i="1"/>
  <c r="O49" i="1" s="1"/>
  <c r="L49" i="1"/>
  <c r="P49" i="1" s="1"/>
  <c r="I50" i="1"/>
  <c r="M50" i="1" s="1"/>
  <c r="J50" i="1"/>
  <c r="N50" i="1" s="1"/>
  <c r="K50" i="1"/>
  <c r="O50" i="1" s="1"/>
  <c r="L50" i="1"/>
  <c r="P50" i="1" s="1"/>
  <c r="I51" i="1"/>
  <c r="M51" i="1" s="1"/>
  <c r="J51" i="1"/>
  <c r="N51" i="1" s="1"/>
  <c r="K51" i="1"/>
  <c r="O51" i="1" s="1"/>
  <c r="L51" i="1"/>
  <c r="P51" i="1" s="1"/>
  <c r="I52" i="1"/>
  <c r="J52" i="1"/>
  <c r="N52" i="1" s="1"/>
  <c r="K52" i="1"/>
  <c r="L52" i="1"/>
  <c r="P52" i="1" s="1"/>
  <c r="M52" i="1"/>
  <c r="O52" i="1"/>
  <c r="I53" i="1"/>
  <c r="J53" i="1"/>
  <c r="K53" i="1"/>
  <c r="L53" i="1"/>
  <c r="M53" i="1"/>
  <c r="N53" i="1"/>
  <c r="O53" i="1"/>
  <c r="P53" i="1"/>
  <c r="I54" i="1"/>
  <c r="J54" i="1"/>
  <c r="N54" i="1" s="1"/>
  <c r="K54" i="1"/>
  <c r="O54" i="1" s="1"/>
  <c r="L54" i="1"/>
  <c r="M54" i="1"/>
  <c r="P54" i="1"/>
  <c r="I55" i="1"/>
  <c r="M55" i="1" s="1"/>
  <c r="J55" i="1"/>
  <c r="N55" i="1" s="1"/>
  <c r="K55" i="1"/>
  <c r="L55" i="1"/>
  <c r="P55" i="1" s="1"/>
  <c r="O55" i="1"/>
  <c r="I56" i="1"/>
  <c r="M56" i="1" s="1"/>
  <c r="J56" i="1"/>
  <c r="N56" i="1" s="1"/>
  <c r="K56" i="1"/>
  <c r="O56" i="1" s="1"/>
  <c r="L56" i="1"/>
  <c r="P56" i="1"/>
  <c r="I57" i="1"/>
  <c r="M57" i="1" s="1"/>
  <c r="J57" i="1"/>
  <c r="N57" i="1" s="1"/>
  <c r="K57" i="1"/>
  <c r="O57" i="1" s="1"/>
  <c r="L57" i="1"/>
  <c r="P57" i="1" s="1"/>
  <c r="I58" i="1"/>
  <c r="M58" i="1" s="1"/>
  <c r="J58" i="1"/>
  <c r="N58" i="1" s="1"/>
  <c r="K58" i="1"/>
  <c r="O58" i="1" s="1"/>
  <c r="L58" i="1"/>
  <c r="P58" i="1"/>
  <c r="I59" i="1"/>
  <c r="M59" i="1" s="1"/>
  <c r="J59" i="1"/>
  <c r="N59" i="1" s="1"/>
  <c r="K59" i="1"/>
  <c r="O59" i="1" s="1"/>
  <c r="L59" i="1"/>
  <c r="P59" i="1" s="1"/>
  <c r="I60" i="1"/>
  <c r="J60" i="1"/>
  <c r="N60" i="1" s="1"/>
  <c r="K60" i="1"/>
  <c r="O60" i="1" s="1"/>
  <c r="L60" i="1"/>
  <c r="P60" i="1" s="1"/>
  <c r="M60" i="1"/>
  <c r="I61" i="1"/>
  <c r="J61" i="1"/>
  <c r="N61" i="1" s="1"/>
  <c r="K61" i="1"/>
  <c r="O61" i="1" s="1"/>
  <c r="L61" i="1"/>
  <c r="P61" i="1" s="1"/>
  <c r="M61" i="1"/>
  <c r="I62" i="1"/>
  <c r="J62" i="1"/>
  <c r="K62" i="1"/>
  <c r="L62" i="1"/>
  <c r="M62" i="1"/>
  <c r="N62" i="1"/>
  <c r="O62" i="1"/>
  <c r="P62" i="1"/>
  <c r="I63" i="1"/>
  <c r="M63" i="1" s="1"/>
  <c r="J63" i="1"/>
  <c r="N63" i="1" s="1"/>
  <c r="K63" i="1"/>
  <c r="O63" i="1" s="1"/>
  <c r="L63" i="1"/>
  <c r="P63" i="1"/>
  <c r="I64" i="1"/>
  <c r="M64" i="1" s="1"/>
  <c r="J64" i="1"/>
  <c r="N64" i="1" s="1"/>
  <c r="K64" i="1"/>
  <c r="O64" i="1" s="1"/>
  <c r="L64" i="1"/>
  <c r="P64" i="1" s="1"/>
  <c r="I65" i="1"/>
  <c r="M65" i="1" s="1"/>
  <c r="J65" i="1"/>
  <c r="N65" i="1" s="1"/>
  <c r="K65" i="1"/>
  <c r="O65" i="1" s="1"/>
  <c r="L65" i="1"/>
  <c r="P65" i="1" s="1"/>
  <c r="I66" i="1"/>
  <c r="M66" i="1" s="1"/>
  <c r="J66" i="1"/>
  <c r="N66" i="1" s="1"/>
  <c r="K66" i="1"/>
  <c r="L66" i="1"/>
  <c r="O66" i="1"/>
  <c r="P66" i="1"/>
  <c r="I67" i="1"/>
  <c r="M67" i="1" s="1"/>
  <c r="J67" i="1"/>
  <c r="N67" i="1" s="1"/>
  <c r="K67" i="1"/>
  <c r="O67" i="1" s="1"/>
  <c r="L67" i="1"/>
  <c r="P67" i="1"/>
  <c r="I68" i="1"/>
  <c r="M68" i="1" s="1"/>
  <c r="J68" i="1"/>
  <c r="N68" i="1" s="1"/>
  <c r="K68" i="1"/>
  <c r="O68" i="1" s="1"/>
  <c r="L68" i="1"/>
  <c r="P68" i="1" s="1"/>
  <c r="I69" i="1"/>
  <c r="J69" i="1"/>
  <c r="K69" i="1"/>
  <c r="L69" i="1"/>
  <c r="M69" i="1"/>
  <c r="N69" i="1"/>
  <c r="O69" i="1"/>
  <c r="P69" i="1"/>
  <c r="I70" i="1"/>
  <c r="J70" i="1"/>
  <c r="N70" i="1" s="1"/>
  <c r="K70" i="1"/>
  <c r="O70" i="1" s="1"/>
  <c r="L70" i="1"/>
  <c r="P70" i="1" s="1"/>
  <c r="M70" i="1"/>
  <c r="I71" i="1"/>
  <c r="M71" i="1" s="1"/>
  <c r="J71" i="1"/>
  <c r="N71" i="1" s="1"/>
  <c r="K71" i="1"/>
  <c r="O71" i="1" s="1"/>
  <c r="L71" i="1"/>
  <c r="P71" i="1" s="1"/>
  <c r="I72" i="1"/>
  <c r="M72" i="1" s="1"/>
  <c r="J72" i="1"/>
  <c r="N72" i="1" s="1"/>
  <c r="K72" i="1"/>
  <c r="O72" i="1" s="1"/>
  <c r="L72" i="1"/>
  <c r="P72" i="1" s="1"/>
  <c r="I73" i="1"/>
  <c r="J73" i="1"/>
  <c r="N73" i="1" s="1"/>
  <c r="K73" i="1"/>
  <c r="L73" i="1"/>
  <c r="P73" i="1" s="1"/>
  <c r="M73" i="1"/>
  <c r="O73" i="1"/>
  <c r="I74" i="1"/>
  <c r="J74" i="1"/>
  <c r="K74" i="1"/>
  <c r="L74" i="1"/>
  <c r="M74" i="1"/>
  <c r="N74" i="1"/>
  <c r="O74" i="1"/>
  <c r="P74" i="1"/>
  <c r="I75" i="1"/>
  <c r="M75" i="1" s="1"/>
  <c r="J75" i="1"/>
  <c r="N75" i="1" s="1"/>
  <c r="K75" i="1"/>
  <c r="O75" i="1" s="1"/>
  <c r="L75" i="1"/>
  <c r="P75" i="1"/>
  <c r="I76" i="1"/>
  <c r="M76" i="1" s="1"/>
  <c r="J76" i="1"/>
  <c r="N76" i="1" s="1"/>
  <c r="K76" i="1"/>
  <c r="L76" i="1"/>
  <c r="P76" i="1" s="1"/>
  <c r="O76" i="1"/>
  <c r="I77" i="1"/>
  <c r="M77" i="1" s="1"/>
  <c r="J77" i="1"/>
  <c r="N77" i="1" s="1"/>
  <c r="K77" i="1"/>
  <c r="O77" i="1" s="1"/>
  <c r="L77" i="1"/>
  <c r="P77" i="1"/>
  <c r="I78" i="1"/>
  <c r="M78" i="1" s="1"/>
  <c r="J78" i="1"/>
  <c r="N78" i="1" s="1"/>
  <c r="K78" i="1"/>
  <c r="O78" i="1" s="1"/>
  <c r="L78" i="1"/>
  <c r="P78" i="1" s="1"/>
  <c r="I79" i="1"/>
  <c r="M79" i="1" s="1"/>
  <c r="J79" i="1"/>
  <c r="N79" i="1" s="1"/>
  <c r="K79" i="1"/>
  <c r="O79" i="1" s="1"/>
  <c r="L79" i="1"/>
  <c r="P79" i="1" s="1"/>
  <c r="I80" i="1"/>
  <c r="J80" i="1"/>
  <c r="K80" i="1"/>
  <c r="L80" i="1"/>
  <c r="M80" i="1"/>
  <c r="N80" i="1"/>
  <c r="O80" i="1"/>
  <c r="P80" i="1"/>
  <c r="I81" i="1"/>
  <c r="M81" i="1" s="1"/>
  <c r="J81" i="1"/>
  <c r="N81" i="1" s="1"/>
  <c r="K81" i="1"/>
  <c r="O81" i="1" s="1"/>
  <c r="L81" i="1"/>
  <c r="P81" i="1" s="1"/>
  <c r="I82" i="1"/>
  <c r="J82" i="1"/>
  <c r="N82" i="1" s="1"/>
  <c r="K82" i="1"/>
  <c r="L82" i="1"/>
  <c r="M82" i="1"/>
  <c r="O82" i="1"/>
  <c r="P82" i="1"/>
  <c r="I83" i="1"/>
  <c r="J83" i="1"/>
  <c r="N83" i="1" s="1"/>
  <c r="K83" i="1"/>
  <c r="L83" i="1"/>
  <c r="M83" i="1"/>
  <c r="O83" i="1"/>
  <c r="P83" i="1"/>
  <c r="I84" i="1"/>
  <c r="M84" i="1" s="1"/>
  <c r="J84" i="1"/>
  <c r="N84" i="1" s="1"/>
  <c r="K84" i="1"/>
  <c r="L84" i="1"/>
  <c r="P84" i="1" s="1"/>
  <c r="O84" i="1"/>
  <c r="I85" i="1"/>
  <c r="M85" i="1" s="1"/>
  <c r="J85" i="1"/>
  <c r="N85" i="1" s="1"/>
  <c r="K85" i="1"/>
  <c r="O85" i="1" s="1"/>
  <c r="L85" i="1"/>
  <c r="P85" i="1"/>
  <c r="I86" i="1"/>
  <c r="J86" i="1"/>
  <c r="K86" i="1"/>
  <c r="L86" i="1"/>
  <c r="M86" i="1"/>
  <c r="N86" i="1"/>
  <c r="O86" i="1"/>
  <c r="P86" i="1"/>
  <c r="I87" i="1"/>
  <c r="M87" i="1" s="1"/>
  <c r="J87" i="1"/>
  <c r="N87" i="1" s="1"/>
  <c r="K87" i="1"/>
  <c r="O87" i="1" s="1"/>
  <c r="L87" i="1"/>
  <c r="P87" i="1" s="1"/>
  <c r="I88" i="1"/>
  <c r="M88" i="1" s="1"/>
  <c r="J88" i="1"/>
  <c r="N88" i="1" s="1"/>
  <c r="K88" i="1"/>
  <c r="O88" i="1" s="1"/>
  <c r="L88" i="1"/>
  <c r="P88" i="1" s="1"/>
  <c r="I89" i="1"/>
  <c r="M89" i="1" s="1"/>
  <c r="J89" i="1"/>
  <c r="N89" i="1" s="1"/>
  <c r="K89" i="1"/>
  <c r="O89" i="1" s="1"/>
  <c r="L89" i="1"/>
  <c r="P89" i="1" s="1"/>
  <c r="I90" i="1"/>
  <c r="J90" i="1"/>
  <c r="N90" i="1" s="1"/>
  <c r="K90" i="1"/>
  <c r="L90" i="1"/>
  <c r="P90" i="1" s="1"/>
  <c r="M90" i="1"/>
  <c r="O90" i="1"/>
  <c r="I91" i="1"/>
  <c r="J91" i="1"/>
  <c r="N91" i="1" s="1"/>
  <c r="K91" i="1"/>
  <c r="L91" i="1"/>
  <c r="M91" i="1"/>
  <c r="O91" i="1"/>
  <c r="P91" i="1"/>
  <c r="I92" i="1"/>
  <c r="M92" i="1" s="1"/>
  <c r="J92" i="1"/>
  <c r="N92" i="1" s="1"/>
  <c r="K92" i="1"/>
  <c r="L92" i="1"/>
  <c r="O92" i="1"/>
  <c r="P92" i="1"/>
  <c r="I93" i="1"/>
  <c r="M93" i="1" s="1"/>
  <c r="J93" i="1"/>
  <c r="N93" i="1" s="1"/>
  <c r="K93" i="1"/>
  <c r="O93" i="1" s="1"/>
  <c r="L93" i="1"/>
  <c r="P93" i="1"/>
  <c r="I94" i="1"/>
  <c r="J94" i="1"/>
  <c r="K94" i="1"/>
  <c r="L94" i="1"/>
  <c r="M94" i="1"/>
  <c r="N94" i="1"/>
  <c r="O94" i="1"/>
  <c r="P94" i="1"/>
  <c r="I95" i="1"/>
  <c r="M95" i="1" s="1"/>
  <c r="J95" i="1"/>
  <c r="N95" i="1" s="1"/>
  <c r="K95" i="1"/>
  <c r="O95" i="1" s="1"/>
  <c r="L95" i="1"/>
  <c r="P95" i="1" s="1"/>
  <c r="I96" i="1"/>
  <c r="M96" i="1" s="1"/>
  <c r="J96" i="1"/>
  <c r="N96" i="1" s="1"/>
  <c r="K96" i="1"/>
  <c r="O96" i="1" s="1"/>
  <c r="L96" i="1"/>
  <c r="P96" i="1"/>
  <c r="I97" i="1"/>
  <c r="M97" i="1" s="1"/>
  <c r="J97" i="1"/>
  <c r="N97" i="1" s="1"/>
  <c r="K97" i="1"/>
  <c r="O97" i="1" s="1"/>
  <c r="L97" i="1"/>
  <c r="P97" i="1" s="1"/>
  <c r="I98" i="1"/>
  <c r="J98" i="1"/>
  <c r="N98" i="1" s="1"/>
  <c r="K98" i="1"/>
  <c r="O98" i="1" s="1"/>
  <c r="L98" i="1"/>
  <c r="P98" i="1" s="1"/>
  <c r="M98" i="1"/>
  <c r="I99" i="1"/>
  <c r="J99" i="1"/>
  <c r="N99" i="1" s="1"/>
  <c r="K99" i="1"/>
  <c r="L99" i="1"/>
  <c r="P99" i="1" s="1"/>
  <c r="M99" i="1"/>
  <c r="O99" i="1"/>
  <c r="I100" i="1"/>
  <c r="M100" i="1" s="1"/>
  <c r="J100" i="1"/>
  <c r="N100" i="1" s="1"/>
  <c r="K100" i="1"/>
  <c r="O100" i="1" s="1"/>
  <c r="L100" i="1"/>
  <c r="P100" i="1"/>
  <c r="I101" i="1"/>
  <c r="M101" i="1" s="1"/>
  <c r="J101" i="1"/>
  <c r="N101" i="1" s="1"/>
  <c r="K101" i="1"/>
  <c r="O101" i="1" s="1"/>
  <c r="L101" i="1"/>
  <c r="P101" i="1" s="1"/>
  <c r="I102" i="1"/>
  <c r="M102" i="1" s="1"/>
  <c r="J102" i="1"/>
  <c r="N102" i="1" s="1"/>
  <c r="K102" i="1"/>
  <c r="O102" i="1" s="1"/>
  <c r="L102" i="1"/>
  <c r="P102" i="1" s="1"/>
  <c r="I103" i="1"/>
  <c r="M103" i="1" s="1"/>
  <c r="J103" i="1"/>
  <c r="N103" i="1" s="1"/>
  <c r="K103" i="1"/>
  <c r="L103" i="1"/>
  <c r="O103" i="1"/>
  <c r="P103" i="1"/>
  <c r="I104" i="1"/>
  <c r="M104" i="1" s="1"/>
  <c r="J104" i="1"/>
  <c r="N104" i="1" s="1"/>
  <c r="K104" i="1"/>
  <c r="O104" i="1" s="1"/>
  <c r="L104" i="1"/>
  <c r="P104" i="1"/>
  <c r="I105" i="1"/>
  <c r="M105" i="1" s="1"/>
  <c r="J105" i="1"/>
  <c r="N105" i="1" s="1"/>
  <c r="K105" i="1"/>
  <c r="O105" i="1" s="1"/>
  <c r="L105" i="1"/>
  <c r="P105" i="1" s="1"/>
  <c r="I106" i="1"/>
  <c r="J106" i="1"/>
  <c r="K106" i="1"/>
  <c r="L106" i="1"/>
  <c r="M106" i="1"/>
  <c r="N106" i="1"/>
  <c r="O106" i="1"/>
  <c r="P106" i="1"/>
  <c r="I107" i="1"/>
  <c r="J107" i="1"/>
  <c r="N107" i="1" s="1"/>
  <c r="K107" i="1"/>
  <c r="O107" i="1" s="1"/>
  <c r="L107" i="1"/>
  <c r="P107" i="1" s="1"/>
  <c r="M107" i="1"/>
  <c r="I108" i="1"/>
  <c r="M108" i="1" s="1"/>
  <c r="J108" i="1"/>
  <c r="N108" i="1" s="1"/>
  <c r="K108" i="1"/>
  <c r="L108" i="1"/>
  <c r="P108" i="1" s="1"/>
  <c r="O108" i="1"/>
  <c r="I109" i="1"/>
  <c r="M109" i="1" s="1"/>
  <c r="J109" i="1"/>
  <c r="N109" i="1" s="1"/>
  <c r="K109" i="1"/>
  <c r="O109" i="1" s="1"/>
  <c r="L109" i="1"/>
  <c r="P109" i="1" s="1"/>
  <c r="I110" i="1"/>
  <c r="J110" i="1"/>
  <c r="N110" i="1" s="1"/>
  <c r="K110" i="1"/>
  <c r="O110" i="1" s="1"/>
  <c r="L110" i="1"/>
  <c r="P110" i="1" s="1"/>
  <c r="M110" i="1"/>
  <c r="I111" i="1"/>
  <c r="J111" i="1"/>
  <c r="K111" i="1"/>
  <c r="L111" i="1"/>
  <c r="M111" i="1"/>
  <c r="N111" i="1"/>
  <c r="O111" i="1"/>
  <c r="P111" i="1"/>
  <c r="I112" i="1"/>
  <c r="M112" i="1" s="1"/>
  <c r="J112" i="1"/>
  <c r="N112" i="1" s="1"/>
  <c r="K112" i="1"/>
  <c r="L112" i="1"/>
  <c r="O112" i="1"/>
  <c r="P112" i="1"/>
  <c r="I113" i="1"/>
  <c r="M113" i="1" s="1"/>
  <c r="J113" i="1"/>
  <c r="N113" i="1" s="1"/>
  <c r="K113" i="1"/>
  <c r="L113" i="1"/>
  <c r="O113" i="1"/>
  <c r="P113" i="1"/>
  <c r="I114" i="1"/>
  <c r="M114" i="1" s="1"/>
  <c r="J114" i="1"/>
  <c r="N114" i="1" s="1"/>
  <c r="K114" i="1"/>
  <c r="O114" i="1" s="1"/>
  <c r="L114" i="1"/>
  <c r="P114" i="1"/>
  <c r="I115" i="1"/>
  <c r="M115" i="1" s="1"/>
  <c r="J115" i="1"/>
  <c r="N115" i="1" s="1"/>
  <c r="K115" i="1"/>
  <c r="O115" i="1" s="1"/>
  <c r="L115" i="1"/>
  <c r="P115" i="1" s="1"/>
  <c r="I116" i="1"/>
  <c r="M116" i="1" s="1"/>
  <c r="J116" i="1"/>
  <c r="N116" i="1" s="1"/>
  <c r="K116" i="1"/>
  <c r="O116" i="1" s="1"/>
  <c r="L116" i="1"/>
  <c r="P116" i="1" s="1"/>
  <c r="I117" i="1"/>
  <c r="M117" i="1" s="1"/>
  <c r="J117" i="1"/>
  <c r="N117" i="1" s="1"/>
  <c r="K117" i="1"/>
  <c r="O117" i="1" s="1"/>
  <c r="L117" i="1"/>
  <c r="P117" i="1" s="1"/>
  <c r="I118" i="1"/>
  <c r="J118" i="1"/>
  <c r="N118" i="1" s="1"/>
  <c r="K118" i="1"/>
  <c r="L118" i="1"/>
  <c r="P118" i="1" s="1"/>
  <c r="M118" i="1"/>
  <c r="O118" i="1"/>
  <c r="I119" i="1"/>
  <c r="J119" i="1"/>
  <c r="K119" i="1"/>
  <c r="L119" i="1"/>
  <c r="M119" i="1"/>
  <c r="N119" i="1"/>
  <c r="O119" i="1"/>
  <c r="P119" i="1"/>
  <c r="I120" i="1"/>
  <c r="J120" i="1"/>
  <c r="N120" i="1" s="1"/>
  <c r="K120" i="1"/>
  <c r="L120" i="1"/>
  <c r="M120" i="1"/>
  <c r="O120" i="1"/>
  <c r="P120" i="1"/>
  <c r="I121" i="1"/>
  <c r="M121" i="1" s="1"/>
  <c r="J121" i="1"/>
  <c r="N121" i="1" s="1"/>
  <c r="K121" i="1"/>
  <c r="L121" i="1"/>
  <c r="P121" i="1" s="1"/>
  <c r="O121" i="1"/>
  <c r="I122" i="1"/>
  <c r="M122" i="1" s="1"/>
  <c r="J122" i="1"/>
  <c r="N122" i="1" s="1"/>
  <c r="K122" i="1"/>
  <c r="L122" i="1"/>
  <c r="O122" i="1"/>
  <c r="P122" i="1"/>
  <c r="I123" i="1"/>
  <c r="M123" i="1" s="1"/>
  <c r="J123" i="1"/>
  <c r="N123" i="1" s="1"/>
  <c r="K123" i="1"/>
  <c r="O123" i="1" s="1"/>
  <c r="L123" i="1"/>
  <c r="P123" i="1" s="1"/>
  <c r="I124" i="1"/>
  <c r="M124" i="1" s="1"/>
  <c r="J124" i="1"/>
  <c r="N124" i="1" s="1"/>
  <c r="K124" i="1"/>
  <c r="O124" i="1" s="1"/>
  <c r="L124" i="1"/>
  <c r="P124" i="1" s="1"/>
  <c r="I125" i="1"/>
  <c r="M125" i="1" s="1"/>
  <c r="J125" i="1"/>
  <c r="N125" i="1" s="1"/>
  <c r="K125" i="1"/>
  <c r="O125" i="1" s="1"/>
  <c r="L125" i="1"/>
  <c r="P125" i="1" s="1"/>
  <c r="I126" i="1"/>
  <c r="J126" i="1"/>
  <c r="N126" i="1" s="1"/>
  <c r="K126" i="1"/>
  <c r="L126" i="1"/>
  <c r="P126" i="1" s="1"/>
  <c r="M126" i="1"/>
  <c r="O126" i="1"/>
  <c r="I127" i="1"/>
  <c r="J127" i="1"/>
  <c r="K127" i="1"/>
  <c r="L127" i="1"/>
  <c r="M127" i="1"/>
  <c r="N127" i="1"/>
  <c r="O127" i="1"/>
  <c r="P127" i="1"/>
  <c r="I128" i="1"/>
  <c r="J128" i="1"/>
  <c r="N128" i="1" s="1"/>
  <c r="K128" i="1"/>
  <c r="O128" i="1" s="1"/>
  <c r="L128" i="1"/>
  <c r="M128" i="1"/>
  <c r="P128" i="1"/>
  <c r="I129" i="1"/>
  <c r="M129" i="1" s="1"/>
  <c r="J129" i="1"/>
  <c r="N129" i="1" s="1"/>
  <c r="K129" i="1"/>
  <c r="L129" i="1"/>
  <c r="P129" i="1" s="1"/>
  <c r="O129" i="1"/>
  <c r="I130" i="1"/>
  <c r="M130" i="1" s="1"/>
  <c r="J130" i="1"/>
  <c r="N130" i="1" s="1"/>
  <c r="K130" i="1"/>
  <c r="L130" i="1"/>
  <c r="O130" i="1"/>
  <c r="P130" i="1"/>
  <c r="I131" i="1"/>
  <c r="M131" i="1" s="1"/>
  <c r="J131" i="1"/>
  <c r="N131" i="1" s="1"/>
  <c r="K131" i="1"/>
  <c r="O131" i="1" s="1"/>
  <c r="L131" i="1"/>
  <c r="P131" i="1" s="1"/>
  <c r="I132" i="1"/>
  <c r="M132" i="1" s="1"/>
  <c r="J132" i="1"/>
  <c r="N132" i="1" s="1"/>
  <c r="K132" i="1"/>
  <c r="O132" i="1" s="1"/>
  <c r="L132" i="1"/>
  <c r="P132" i="1"/>
  <c r="I133" i="1"/>
  <c r="M133" i="1" s="1"/>
  <c r="J133" i="1"/>
  <c r="N133" i="1" s="1"/>
  <c r="K133" i="1"/>
  <c r="O133" i="1" s="1"/>
  <c r="L133" i="1"/>
  <c r="P133" i="1" s="1"/>
  <c r="I134" i="1"/>
  <c r="J134" i="1"/>
  <c r="N134" i="1" s="1"/>
  <c r="K134" i="1"/>
  <c r="O134" i="1" s="1"/>
  <c r="L134" i="1"/>
  <c r="P134" i="1" s="1"/>
  <c r="M134" i="1"/>
  <c r="I135" i="1"/>
  <c r="J135" i="1"/>
  <c r="N135" i="1" s="1"/>
  <c r="K135" i="1"/>
  <c r="O135" i="1" s="1"/>
  <c r="L135" i="1"/>
  <c r="P135" i="1" s="1"/>
  <c r="M135" i="1"/>
  <c r="I136" i="1"/>
  <c r="M136" i="1" s="1"/>
  <c r="J136" i="1"/>
  <c r="N136" i="1" s="1"/>
  <c r="K136" i="1"/>
  <c r="L136" i="1"/>
  <c r="O136" i="1"/>
  <c r="P136" i="1"/>
  <c r="I137" i="1"/>
  <c r="M137" i="1" s="1"/>
  <c r="J137" i="1"/>
  <c r="N137" i="1" s="1"/>
  <c r="K137" i="1"/>
  <c r="O137" i="1" s="1"/>
  <c r="L137" i="1"/>
  <c r="P137" i="1"/>
  <c r="I138" i="1"/>
  <c r="M138" i="1" s="1"/>
  <c r="J138" i="1"/>
  <c r="N138" i="1" s="1"/>
  <c r="K138" i="1"/>
  <c r="O138" i="1" s="1"/>
  <c r="L138" i="1"/>
  <c r="P138" i="1" s="1"/>
  <c r="I139" i="1"/>
  <c r="J139" i="1"/>
  <c r="K139" i="1"/>
  <c r="L139" i="1"/>
  <c r="M139" i="1"/>
  <c r="N139" i="1"/>
  <c r="O139" i="1"/>
  <c r="P139" i="1"/>
  <c r="I140" i="1"/>
  <c r="M140" i="1" s="1"/>
  <c r="J140" i="1"/>
  <c r="N140" i="1" s="1"/>
  <c r="K140" i="1"/>
  <c r="O140" i="1" s="1"/>
  <c r="L140" i="1"/>
  <c r="P140" i="1"/>
  <c r="I141" i="1"/>
  <c r="M141" i="1" s="1"/>
  <c r="J141" i="1"/>
  <c r="N141" i="1" s="1"/>
  <c r="K141" i="1"/>
  <c r="O141" i="1" s="1"/>
  <c r="L141" i="1"/>
  <c r="P141" i="1"/>
  <c r="I142" i="1"/>
  <c r="M142" i="1" s="1"/>
  <c r="J142" i="1"/>
  <c r="N142" i="1" s="1"/>
  <c r="K142" i="1"/>
  <c r="O142" i="1" s="1"/>
  <c r="L142" i="1"/>
  <c r="P142" i="1" s="1"/>
  <c r="I143" i="1"/>
  <c r="J143" i="1"/>
  <c r="N143" i="1" s="1"/>
  <c r="K143" i="1"/>
  <c r="O143" i="1" s="1"/>
  <c r="L143" i="1"/>
  <c r="P143" i="1" s="1"/>
  <c r="M143" i="1"/>
  <c r="I144" i="1"/>
  <c r="J144" i="1"/>
  <c r="K144" i="1"/>
  <c r="L144" i="1"/>
  <c r="M144" i="1"/>
  <c r="N144" i="1"/>
  <c r="O144" i="1"/>
  <c r="P144" i="1"/>
  <c r="I145" i="1"/>
  <c r="M145" i="1" s="1"/>
  <c r="J145" i="1"/>
  <c r="N145" i="1" s="1"/>
  <c r="K145" i="1"/>
  <c r="L145" i="1"/>
  <c r="P145" i="1" s="1"/>
  <c r="O145" i="1"/>
  <c r="I146" i="1"/>
  <c r="M146" i="1" s="1"/>
  <c r="J146" i="1"/>
  <c r="N146" i="1" s="1"/>
  <c r="K146" i="1"/>
  <c r="O146" i="1" s="1"/>
  <c r="L146" i="1"/>
  <c r="P146" i="1" s="1"/>
  <c r="I147" i="1"/>
  <c r="J147" i="1"/>
  <c r="N147" i="1" s="1"/>
  <c r="K147" i="1"/>
  <c r="O147" i="1" s="1"/>
  <c r="L147" i="1"/>
  <c r="P147" i="1" s="1"/>
  <c r="M147" i="1"/>
  <c r="I148" i="1"/>
  <c r="J148" i="1"/>
  <c r="N148" i="1" s="1"/>
  <c r="K148" i="1"/>
  <c r="L148" i="1"/>
  <c r="P148" i="1" s="1"/>
  <c r="M148" i="1"/>
  <c r="O148" i="1"/>
  <c r="I149" i="1"/>
  <c r="J149" i="1"/>
  <c r="N149" i="1" s="1"/>
  <c r="K149" i="1"/>
  <c r="L149" i="1"/>
  <c r="M149" i="1"/>
  <c r="O149" i="1"/>
  <c r="P149" i="1"/>
  <c r="I150" i="1"/>
  <c r="M150" i="1" s="1"/>
  <c r="J150" i="1"/>
  <c r="N150" i="1" s="1"/>
  <c r="K150" i="1"/>
  <c r="L150" i="1"/>
  <c r="P150" i="1" s="1"/>
  <c r="O150" i="1"/>
  <c r="I151" i="1"/>
  <c r="M151" i="1" s="1"/>
  <c r="J151" i="1"/>
  <c r="N151" i="1" s="1"/>
  <c r="K151" i="1"/>
  <c r="O151" i="1" s="1"/>
  <c r="L151" i="1"/>
  <c r="P151" i="1"/>
  <c r="I152" i="1"/>
  <c r="J152" i="1"/>
  <c r="K152" i="1"/>
  <c r="L152" i="1"/>
  <c r="M152" i="1"/>
  <c r="N152" i="1"/>
  <c r="O152" i="1"/>
  <c r="P152" i="1"/>
  <c r="I153" i="1"/>
  <c r="J153" i="1"/>
  <c r="N153" i="1" s="1"/>
  <c r="K153" i="1"/>
  <c r="O153" i="1" s="1"/>
  <c r="L153" i="1"/>
  <c r="P153" i="1" s="1"/>
  <c r="M153" i="1"/>
  <c r="I154" i="1"/>
  <c r="J154" i="1"/>
  <c r="N154" i="1" s="1"/>
  <c r="K154" i="1"/>
  <c r="L154" i="1"/>
  <c r="P154" i="1" s="1"/>
  <c r="M154" i="1"/>
  <c r="O154" i="1"/>
  <c r="I155" i="1"/>
  <c r="M155" i="1" s="1"/>
  <c r="J155" i="1"/>
  <c r="N155" i="1" s="1"/>
  <c r="K155" i="1"/>
  <c r="L155" i="1"/>
  <c r="O155" i="1"/>
  <c r="P155" i="1"/>
  <c r="I156" i="1"/>
  <c r="M156" i="1" s="1"/>
  <c r="J156" i="1"/>
  <c r="N156" i="1" s="1"/>
  <c r="K156" i="1"/>
  <c r="O156" i="1" s="1"/>
  <c r="L156" i="1"/>
  <c r="P156" i="1"/>
  <c r="I157" i="1"/>
  <c r="M157" i="1" s="1"/>
  <c r="J157" i="1"/>
  <c r="N157" i="1" s="1"/>
  <c r="K157" i="1"/>
  <c r="O157" i="1" s="1"/>
  <c r="L157" i="1"/>
  <c r="P157" i="1" s="1"/>
  <c r="I158" i="1"/>
  <c r="J158" i="1"/>
  <c r="N158" i="1" s="1"/>
  <c r="K158" i="1"/>
  <c r="O158" i="1" s="1"/>
  <c r="L158" i="1"/>
  <c r="P158" i="1" s="1"/>
  <c r="M158" i="1"/>
  <c r="I159" i="1"/>
  <c r="M159" i="1" s="1"/>
  <c r="J159" i="1"/>
  <c r="N159" i="1" s="1"/>
  <c r="K159" i="1"/>
  <c r="O159" i="1" s="1"/>
  <c r="L159" i="1"/>
  <c r="P159" i="1"/>
  <c r="I160" i="1"/>
  <c r="J160" i="1"/>
  <c r="K160" i="1"/>
  <c r="L160" i="1"/>
  <c r="M160" i="1"/>
  <c r="N160" i="1"/>
  <c r="O160" i="1"/>
  <c r="P160" i="1"/>
  <c r="I161" i="1"/>
  <c r="M161" i="1" s="1"/>
  <c r="J161" i="1"/>
  <c r="N161" i="1" s="1"/>
  <c r="K161" i="1"/>
  <c r="O161" i="1" s="1"/>
  <c r="L161" i="1"/>
  <c r="P161" i="1"/>
  <c r="I162" i="1"/>
  <c r="M162" i="1" s="1"/>
  <c r="J162" i="1"/>
  <c r="N162" i="1" s="1"/>
  <c r="K162" i="1"/>
  <c r="O162" i="1" s="1"/>
  <c r="L162" i="1"/>
  <c r="P162" i="1" s="1"/>
  <c r="I163" i="1"/>
  <c r="J163" i="1"/>
  <c r="N163" i="1" s="1"/>
  <c r="K163" i="1"/>
  <c r="L163" i="1"/>
  <c r="P163" i="1" s="1"/>
  <c r="M163" i="1"/>
  <c r="O163" i="1"/>
  <c r="I164" i="1"/>
  <c r="J164" i="1"/>
  <c r="N164" i="1" s="1"/>
  <c r="K164" i="1"/>
  <c r="O164" i="1" s="1"/>
  <c r="L164" i="1"/>
  <c r="M164" i="1"/>
  <c r="P164" i="1"/>
  <c r="I165" i="1"/>
  <c r="M165" i="1" s="1"/>
  <c r="J165" i="1"/>
  <c r="N165" i="1" s="1"/>
  <c r="K165" i="1"/>
  <c r="L165" i="1"/>
  <c r="P165" i="1" s="1"/>
  <c r="O165" i="1"/>
  <c r="I166" i="1"/>
  <c r="M166" i="1" s="1"/>
  <c r="J166" i="1"/>
  <c r="N166" i="1" s="1"/>
  <c r="K166" i="1"/>
  <c r="L166" i="1"/>
  <c r="O166" i="1"/>
  <c r="P166" i="1"/>
  <c r="I167" i="1"/>
  <c r="M167" i="1" s="1"/>
  <c r="J167" i="1"/>
  <c r="N167" i="1" s="1"/>
  <c r="K167" i="1"/>
  <c r="O167" i="1" s="1"/>
  <c r="L167" i="1"/>
  <c r="P167" i="1"/>
  <c r="I168" i="1"/>
  <c r="M168" i="1" s="1"/>
  <c r="J168" i="1"/>
  <c r="N168" i="1" s="1"/>
  <c r="K168" i="1"/>
  <c r="O168" i="1" s="1"/>
  <c r="L168" i="1"/>
  <c r="P168" i="1" s="1"/>
  <c r="I169" i="1"/>
  <c r="M169" i="1" s="1"/>
  <c r="J169" i="1"/>
  <c r="N169" i="1" s="1"/>
  <c r="K169" i="1"/>
  <c r="O169" i="1" s="1"/>
  <c r="L169" i="1"/>
  <c r="P169" i="1"/>
  <c r="I170" i="1"/>
  <c r="M170" i="1" s="1"/>
  <c r="J170" i="1"/>
  <c r="N170" i="1" s="1"/>
  <c r="K170" i="1"/>
  <c r="O170" i="1" s="1"/>
  <c r="L170" i="1"/>
  <c r="P170" i="1" s="1"/>
  <c r="I171" i="1"/>
  <c r="M171" i="1" s="1"/>
  <c r="J171" i="1"/>
  <c r="N171" i="1" s="1"/>
  <c r="K171" i="1"/>
  <c r="O171" i="1" s="1"/>
  <c r="L171" i="1"/>
  <c r="P171" i="1" s="1"/>
  <c r="I172" i="1"/>
  <c r="J172" i="1"/>
  <c r="K172" i="1"/>
  <c r="L172" i="1"/>
  <c r="M172" i="1"/>
  <c r="N172" i="1"/>
  <c r="O172" i="1"/>
  <c r="P172" i="1"/>
  <c r="I173" i="1"/>
  <c r="J173" i="1"/>
  <c r="N173" i="1" s="1"/>
  <c r="K173" i="1"/>
  <c r="L173" i="1"/>
  <c r="P173" i="1" s="1"/>
  <c r="M173" i="1"/>
  <c r="O173" i="1"/>
  <c r="I174" i="1"/>
  <c r="J174" i="1"/>
  <c r="N174" i="1" s="1"/>
  <c r="K174" i="1"/>
  <c r="L174" i="1"/>
  <c r="M174" i="1"/>
  <c r="O174" i="1"/>
  <c r="P174" i="1"/>
  <c r="I175" i="1"/>
  <c r="J175" i="1"/>
  <c r="N175" i="1" s="1"/>
  <c r="K175" i="1"/>
  <c r="O175" i="1" s="1"/>
  <c r="L175" i="1"/>
  <c r="M175" i="1"/>
  <c r="P175" i="1"/>
  <c r="I176" i="1"/>
  <c r="M176" i="1" s="1"/>
  <c r="J176" i="1"/>
  <c r="N176" i="1" s="1"/>
  <c r="K176" i="1"/>
  <c r="L176" i="1"/>
  <c r="P176" i="1" s="1"/>
  <c r="O176" i="1"/>
  <c r="I177" i="1"/>
  <c r="J177" i="1"/>
  <c r="K177" i="1"/>
  <c r="L177" i="1"/>
  <c r="M177" i="1"/>
  <c r="N177" i="1"/>
  <c r="O177" i="1"/>
  <c r="P177" i="1"/>
  <c r="I178" i="1"/>
  <c r="M178" i="1" s="1"/>
  <c r="J178" i="1"/>
  <c r="N178" i="1" s="1"/>
  <c r="K178" i="1"/>
  <c r="L178" i="1"/>
  <c r="O178" i="1"/>
  <c r="P178" i="1"/>
  <c r="I179" i="1"/>
  <c r="M179" i="1" s="1"/>
  <c r="J179" i="1"/>
  <c r="N179" i="1" s="1"/>
  <c r="K179" i="1"/>
  <c r="O179" i="1" s="1"/>
  <c r="L179" i="1"/>
  <c r="P179" i="1"/>
  <c r="I180" i="1"/>
  <c r="J180" i="1"/>
  <c r="N180" i="1" s="1"/>
  <c r="K180" i="1"/>
  <c r="O180" i="1" s="1"/>
  <c r="L180" i="1"/>
  <c r="P180" i="1" s="1"/>
  <c r="M180" i="1"/>
  <c r="I181" i="1"/>
  <c r="J181" i="1"/>
  <c r="N181" i="1" s="1"/>
  <c r="K181" i="1"/>
  <c r="L181" i="1"/>
  <c r="P181" i="1" s="1"/>
  <c r="M181" i="1"/>
  <c r="O181" i="1"/>
  <c r="I182" i="1"/>
  <c r="M182" i="1" s="1"/>
  <c r="J182" i="1"/>
  <c r="N182" i="1" s="1"/>
  <c r="K182" i="1"/>
  <c r="L182" i="1"/>
  <c r="P182" i="1" s="1"/>
  <c r="O182" i="1"/>
  <c r="I183" i="1"/>
  <c r="M183" i="1" s="1"/>
  <c r="J183" i="1"/>
  <c r="N183" i="1" s="1"/>
  <c r="K183" i="1"/>
  <c r="L183" i="1"/>
  <c r="O183" i="1"/>
  <c r="P183" i="1"/>
  <c r="I184" i="1"/>
  <c r="M184" i="1" s="1"/>
  <c r="J184" i="1"/>
  <c r="N184" i="1" s="1"/>
  <c r="K184" i="1"/>
  <c r="O184" i="1" s="1"/>
  <c r="L184" i="1"/>
  <c r="P184" i="1"/>
  <c r="I185" i="1"/>
  <c r="J185" i="1"/>
  <c r="K185" i="1"/>
  <c r="L185" i="1"/>
  <c r="M185" i="1"/>
  <c r="N185" i="1"/>
  <c r="O185" i="1"/>
  <c r="P185" i="1"/>
  <c r="I186" i="1"/>
  <c r="M186" i="1" s="1"/>
  <c r="J186" i="1"/>
  <c r="N186" i="1" s="1"/>
  <c r="K186" i="1"/>
  <c r="O186" i="1" s="1"/>
  <c r="L186" i="1"/>
  <c r="P186" i="1" s="1"/>
  <c r="I187" i="1"/>
  <c r="J187" i="1"/>
  <c r="N187" i="1" s="1"/>
  <c r="K187" i="1"/>
  <c r="O187" i="1" s="1"/>
  <c r="L187" i="1"/>
  <c r="P187" i="1" s="1"/>
  <c r="M187" i="1"/>
  <c r="I188" i="1"/>
  <c r="M188" i="1" s="1"/>
  <c r="J188" i="1"/>
  <c r="N188" i="1" s="1"/>
  <c r="K188" i="1"/>
  <c r="O188" i="1" s="1"/>
  <c r="L188" i="1"/>
  <c r="P188" i="1"/>
  <c r="I189" i="1"/>
  <c r="J189" i="1"/>
  <c r="N189" i="1" s="1"/>
  <c r="K189" i="1"/>
  <c r="O189" i="1" s="1"/>
  <c r="L189" i="1"/>
  <c r="P189" i="1" s="1"/>
  <c r="M189" i="1"/>
  <c r="I190" i="1"/>
  <c r="M190" i="1" s="1"/>
  <c r="J190" i="1"/>
  <c r="N190" i="1" s="1"/>
  <c r="K190" i="1"/>
  <c r="L190" i="1"/>
  <c r="O190" i="1"/>
  <c r="P190" i="1"/>
  <c r="I191" i="1"/>
  <c r="M191" i="1" s="1"/>
  <c r="J191" i="1"/>
  <c r="N191" i="1" s="1"/>
  <c r="K191" i="1"/>
  <c r="O191" i="1" s="1"/>
  <c r="L191" i="1"/>
  <c r="P191" i="1"/>
  <c r="I192" i="1"/>
  <c r="M192" i="1" s="1"/>
  <c r="J192" i="1"/>
  <c r="N192" i="1" s="1"/>
  <c r="K192" i="1"/>
  <c r="O192" i="1" s="1"/>
  <c r="L192" i="1"/>
  <c r="P192" i="1" s="1"/>
  <c r="I193" i="1"/>
  <c r="J193" i="1"/>
  <c r="N193" i="1" s="1"/>
  <c r="K193" i="1"/>
  <c r="O193" i="1" s="1"/>
  <c r="L193" i="1"/>
  <c r="P193" i="1" s="1"/>
  <c r="M193" i="1"/>
  <c r="I194" i="1"/>
  <c r="J194" i="1"/>
  <c r="N194" i="1" s="1"/>
  <c r="K194" i="1"/>
  <c r="L194" i="1"/>
  <c r="P194" i="1" s="1"/>
  <c r="M194" i="1"/>
  <c r="O194" i="1"/>
  <c r="I195" i="1"/>
  <c r="J195" i="1"/>
  <c r="N195" i="1" s="1"/>
  <c r="K195" i="1"/>
  <c r="L195" i="1"/>
  <c r="M195" i="1"/>
  <c r="O195" i="1"/>
  <c r="P195" i="1"/>
  <c r="I196" i="1"/>
  <c r="J196" i="1"/>
  <c r="N196" i="1" s="1"/>
  <c r="K196" i="1"/>
  <c r="L196" i="1"/>
  <c r="M196" i="1"/>
  <c r="O196" i="1"/>
  <c r="P196" i="1"/>
  <c r="I197" i="1"/>
  <c r="M197" i="1" s="1"/>
  <c r="J197" i="1"/>
  <c r="N197" i="1" s="1"/>
  <c r="K197" i="1"/>
  <c r="L197" i="1"/>
  <c r="O197" i="1"/>
  <c r="P197" i="1"/>
  <c r="I198" i="1"/>
  <c r="J198" i="1"/>
  <c r="K198" i="1"/>
  <c r="L198" i="1"/>
  <c r="M198" i="1"/>
  <c r="N198" i="1"/>
  <c r="O198" i="1"/>
  <c r="P198" i="1"/>
  <c r="I199" i="1"/>
  <c r="M199" i="1" s="1"/>
  <c r="J199" i="1"/>
  <c r="N199" i="1" s="1"/>
  <c r="K199" i="1"/>
  <c r="L199" i="1"/>
  <c r="O199" i="1"/>
  <c r="P199" i="1"/>
  <c r="I200" i="1"/>
  <c r="M200" i="1" s="1"/>
  <c r="J200" i="1"/>
  <c r="N200" i="1" s="1"/>
  <c r="K200" i="1"/>
  <c r="O200" i="1" s="1"/>
  <c r="L200" i="1"/>
  <c r="P200" i="1"/>
  <c r="I201" i="1"/>
  <c r="M201" i="1" s="1"/>
  <c r="J201" i="1"/>
  <c r="N201" i="1" s="1"/>
  <c r="K201" i="1"/>
  <c r="O201" i="1" s="1"/>
  <c r="L201" i="1"/>
  <c r="P201" i="1" s="1"/>
  <c r="I202" i="1"/>
  <c r="J202" i="1"/>
  <c r="N202" i="1" s="1"/>
  <c r="K202" i="1"/>
  <c r="O202" i="1" s="1"/>
  <c r="L202" i="1"/>
  <c r="P202" i="1" s="1"/>
  <c r="M202" i="1"/>
  <c r="I203" i="1"/>
  <c r="J203" i="1"/>
  <c r="N203" i="1" s="1"/>
  <c r="K203" i="1"/>
  <c r="L203" i="1"/>
  <c r="P203" i="1" s="1"/>
  <c r="M203" i="1"/>
  <c r="O203" i="1"/>
  <c r="I204" i="1"/>
  <c r="J204" i="1"/>
  <c r="N204" i="1" s="1"/>
  <c r="K204" i="1"/>
  <c r="L204" i="1"/>
  <c r="M204" i="1"/>
  <c r="O204" i="1"/>
  <c r="P204" i="1"/>
  <c r="I205" i="1"/>
  <c r="J205" i="1"/>
  <c r="K205" i="1"/>
  <c r="L205" i="1"/>
  <c r="M205" i="1"/>
  <c r="N205" i="1"/>
  <c r="O205" i="1"/>
  <c r="P205" i="1"/>
  <c r="I206" i="1"/>
  <c r="J206" i="1"/>
  <c r="N206" i="1" s="1"/>
  <c r="K206" i="1"/>
  <c r="O206" i="1" s="1"/>
  <c r="L206" i="1"/>
  <c r="M206" i="1"/>
  <c r="P206" i="1"/>
  <c r="I207" i="1"/>
  <c r="M207" i="1" s="1"/>
  <c r="J207" i="1"/>
  <c r="N207" i="1" s="1"/>
  <c r="K207" i="1"/>
  <c r="L207" i="1"/>
  <c r="P207" i="1" s="1"/>
  <c r="O207" i="1"/>
  <c r="I208" i="1"/>
  <c r="M208" i="1" s="1"/>
  <c r="J208" i="1"/>
  <c r="N208" i="1" s="1"/>
  <c r="K208" i="1"/>
  <c r="L208" i="1"/>
  <c r="O208" i="1"/>
  <c r="P208" i="1"/>
  <c r="I209" i="1"/>
  <c r="M209" i="1" s="1"/>
  <c r="J209" i="1"/>
  <c r="N209" i="1" s="1"/>
  <c r="K209" i="1"/>
  <c r="O209" i="1" s="1"/>
  <c r="L209" i="1"/>
  <c r="P209" i="1"/>
  <c r="I210" i="1"/>
  <c r="M210" i="1" s="1"/>
  <c r="J210" i="1"/>
  <c r="N210" i="1" s="1"/>
  <c r="K210" i="1"/>
  <c r="O210" i="1" s="1"/>
  <c r="L210" i="1"/>
  <c r="P210" i="1" s="1"/>
  <c r="I211" i="1"/>
  <c r="J211" i="1"/>
  <c r="N211" i="1" s="1"/>
  <c r="K211" i="1"/>
  <c r="O211" i="1" s="1"/>
  <c r="L211" i="1"/>
  <c r="P211" i="1" s="1"/>
  <c r="M211" i="1"/>
  <c r="I212" i="1"/>
  <c r="J212" i="1"/>
  <c r="N212" i="1" s="1"/>
  <c r="K212" i="1"/>
  <c r="L212" i="1"/>
  <c r="P212" i="1" s="1"/>
  <c r="M212" i="1"/>
  <c r="O212" i="1"/>
  <c r="I213" i="1"/>
  <c r="J213" i="1"/>
  <c r="N213" i="1" s="1"/>
  <c r="K213" i="1"/>
  <c r="L213" i="1"/>
  <c r="M213" i="1"/>
  <c r="O213" i="1"/>
  <c r="P213" i="1"/>
  <c r="I214" i="1"/>
  <c r="J214" i="1"/>
  <c r="K214" i="1"/>
  <c r="L214" i="1"/>
  <c r="M214" i="1"/>
  <c r="N214" i="1"/>
  <c r="O214" i="1"/>
  <c r="P214" i="1"/>
  <c r="I215" i="1"/>
  <c r="J215" i="1"/>
  <c r="N215" i="1" s="1"/>
  <c r="K215" i="1"/>
  <c r="O215" i="1" s="1"/>
  <c r="L215" i="1"/>
  <c r="M215" i="1"/>
  <c r="P215" i="1"/>
  <c r="I216" i="1"/>
  <c r="M216" i="1" s="1"/>
  <c r="J216" i="1"/>
  <c r="N216" i="1" s="1"/>
  <c r="K216" i="1"/>
  <c r="L216" i="1"/>
  <c r="P216" i="1" s="1"/>
  <c r="O216" i="1"/>
  <c r="I217" i="1"/>
  <c r="M217" i="1" s="1"/>
  <c r="J217" i="1"/>
  <c r="N217" i="1" s="1"/>
  <c r="K217" i="1"/>
  <c r="L217" i="1"/>
  <c r="O217" i="1"/>
  <c r="P217" i="1"/>
  <c r="I218" i="1"/>
  <c r="M218" i="1" s="1"/>
  <c r="J218" i="1"/>
  <c r="N218" i="1" s="1"/>
  <c r="K218" i="1"/>
  <c r="O218" i="1" s="1"/>
  <c r="L218" i="1"/>
  <c r="P218" i="1"/>
  <c r="I219" i="1"/>
  <c r="M219" i="1" s="1"/>
  <c r="J219" i="1"/>
  <c r="N219" i="1" s="1"/>
  <c r="K219" i="1"/>
  <c r="O219" i="1" s="1"/>
  <c r="L219" i="1"/>
  <c r="P219" i="1" s="1"/>
  <c r="I220" i="1"/>
  <c r="J220" i="1"/>
  <c r="N220" i="1" s="1"/>
  <c r="K220" i="1"/>
  <c r="L220" i="1"/>
  <c r="P220" i="1" s="1"/>
  <c r="M220" i="1"/>
  <c r="O220" i="1"/>
  <c r="I221" i="1"/>
  <c r="J221" i="1"/>
  <c r="N221" i="1" s="1"/>
  <c r="K221" i="1"/>
  <c r="L221" i="1"/>
  <c r="M221" i="1"/>
  <c r="O221" i="1"/>
  <c r="P221" i="1"/>
  <c r="I222" i="1"/>
  <c r="J222" i="1"/>
  <c r="K222" i="1"/>
  <c r="L222" i="1"/>
  <c r="M222" i="1"/>
  <c r="N222" i="1"/>
  <c r="O222" i="1"/>
  <c r="P222" i="1"/>
  <c r="I223" i="1"/>
  <c r="M223" i="1" s="1"/>
  <c r="J223" i="1"/>
  <c r="N223" i="1" s="1"/>
  <c r="K223" i="1"/>
  <c r="L223" i="1"/>
  <c r="O223" i="1"/>
  <c r="P223" i="1"/>
  <c r="I224" i="1"/>
  <c r="J224" i="1"/>
  <c r="N224" i="1" s="1"/>
  <c r="K224" i="1"/>
  <c r="O224" i="1" s="1"/>
  <c r="L224" i="1"/>
  <c r="M224" i="1"/>
  <c r="P224" i="1"/>
  <c r="I225" i="1"/>
  <c r="M225" i="1" s="1"/>
  <c r="J225" i="1"/>
  <c r="N225" i="1" s="1"/>
  <c r="K225" i="1"/>
  <c r="L225" i="1"/>
  <c r="P225" i="1" s="1"/>
  <c r="O225" i="1"/>
  <c r="I226" i="1"/>
  <c r="M226" i="1" s="1"/>
  <c r="J226" i="1"/>
  <c r="N226" i="1" s="1"/>
  <c r="K226" i="1"/>
  <c r="L226" i="1"/>
  <c r="O226" i="1"/>
  <c r="P226" i="1"/>
  <c r="I227" i="1"/>
  <c r="J227" i="1"/>
  <c r="N227" i="1" s="1"/>
  <c r="K227" i="1"/>
  <c r="O227" i="1" s="1"/>
  <c r="L227" i="1"/>
  <c r="M227" i="1"/>
  <c r="P227" i="1"/>
  <c r="I228" i="1"/>
  <c r="J228" i="1"/>
  <c r="K228" i="1"/>
  <c r="L228" i="1"/>
  <c r="M228" i="1"/>
  <c r="N228" i="1"/>
  <c r="O228" i="1"/>
  <c r="P228" i="1"/>
  <c r="I229" i="1"/>
  <c r="M229" i="1" s="1"/>
  <c r="J229" i="1"/>
  <c r="N229" i="1" s="1"/>
  <c r="K229" i="1"/>
  <c r="O229" i="1" s="1"/>
  <c r="L229" i="1"/>
  <c r="P229" i="1" s="1"/>
  <c r="I230" i="1"/>
  <c r="J230" i="1"/>
  <c r="N230" i="1" s="1"/>
  <c r="K230" i="1"/>
  <c r="O230" i="1" s="1"/>
  <c r="L230" i="1"/>
  <c r="P230" i="1" s="1"/>
  <c r="M230" i="1"/>
  <c r="I231" i="1"/>
  <c r="J231" i="1"/>
  <c r="N231" i="1" s="1"/>
  <c r="K231" i="1"/>
  <c r="L231" i="1"/>
  <c r="P231" i="1" s="1"/>
  <c r="M231" i="1"/>
  <c r="O231" i="1"/>
  <c r="I232" i="1"/>
  <c r="J232" i="1"/>
  <c r="N232" i="1" s="1"/>
  <c r="K232" i="1"/>
  <c r="L232" i="1"/>
  <c r="M232" i="1"/>
  <c r="O232" i="1"/>
  <c r="P232" i="1"/>
  <c r="I233" i="1"/>
  <c r="J233" i="1"/>
  <c r="K233" i="1"/>
  <c r="L233" i="1"/>
  <c r="M233" i="1"/>
  <c r="N233" i="1"/>
  <c r="O233" i="1"/>
  <c r="P233" i="1"/>
  <c r="I234" i="1"/>
  <c r="J234" i="1"/>
  <c r="N234" i="1" s="1"/>
  <c r="K234" i="1"/>
  <c r="O234" i="1" s="1"/>
  <c r="L234" i="1"/>
  <c r="M234" i="1"/>
  <c r="P234" i="1"/>
  <c r="I235" i="1"/>
  <c r="M235" i="1" s="1"/>
  <c r="J235" i="1"/>
  <c r="N235" i="1" s="1"/>
  <c r="K235" i="1"/>
  <c r="L235" i="1"/>
  <c r="P235" i="1" s="1"/>
  <c r="O235" i="1"/>
  <c r="I236" i="1"/>
  <c r="M236" i="1" s="1"/>
  <c r="J236" i="1"/>
  <c r="N236" i="1" s="1"/>
  <c r="K236" i="1"/>
  <c r="L236" i="1"/>
  <c r="O236" i="1"/>
  <c r="P236" i="1"/>
  <c r="I237" i="1"/>
  <c r="J237" i="1"/>
  <c r="N237" i="1" s="1"/>
  <c r="K237" i="1"/>
  <c r="O237" i="1" s="1"/>
  <c r="L237" i="1"/>
  <c r="M237" i="1"/>
  <c r="P237" i="1"/>
  <c r="I238" i="1"/>
  <c r="J238" i="1"/>
  <c r="K238" i="1"/>
  <c r="L238" i="1"/>
  <c r="M238" i="1"/>
  <c r="N238" i="1"/>
  <c r="O238" i="1"/>
  <c r="P238" i="1"/>
  <c r="I239" i="1"/>
  <c r="M239" i="1" s="1"/>
  <c r="J239" i="1"/>
  <c r="N239" i="1" s="1"/>
  <c r="K239" i="1"/>
  <c r="O239" i="1" s="1"/>
  <c r="L239" i="1"/>
  <c r="P239" i="1" s="1"/>
  <c r="I240" i="1"/>
  <c r="J240" i="1"/>
  <c r="N240" i="1" s="1"/>
  <c r="K240" i="1"/>
  <c r="O240" i="1" s="1"/>
  <c r="L240" i="1"/>
  <c r="P240" i="1" s="1"/>
  <c r="M240" i="1"/>
  <c r="I241" i="1"/>
  <c r="J241" i="1"/>
  <c r="N241" i="1" s="1"/>
  <c r="K241" i="1"/>
  <c r="L241" i="1"/>
  <c r="P241" i="1" s="1"/>
  <c r="M241" i="1"/>
  <c r="O241" i="1"/>
  <c r="I242" i="1"/>
  <c r="J242" i="1"/>
  <c r="N242" i="1" s="1"/>
  <c r="K242" i="1"/>
  <c r="L242" i="1"/>
  <c r="M242" i="1"/>
  <c r="O242" i="1"/>
  <c r="P242" i="1"/>
  <c r="I243" i="1"/>
  <c r="J243" i="1"/>
  <c r="K243" i="1"/>
  <c r="L243" i="1"/>
  <c r="M243" i="1"/>
  <c r="N243" i="1"/>
  <c r="O243" i="1"/>
  <c r="P243" i="1"/>
  <c r="I244" i="1"/>
  <c r="J244" i="1"/>
  <c r="N244" i="1" s="1"/>
  <c r="K244" i="1"/>
  <c r="O244" i="1" s="1"/>
  <c r="L244" i="1"/>
  <c r="M244" i="1"/>
  <c r="P244" i="1"/>
  <c r="I245" i="1"/>
  <c r="M245" i="1" s="1"/>
  <c r="J245" i="1"/>
  <c r="N245" i="1" s="1"/>
  <c r="K245" i="1"/>
  <c r="L245" i="1"/>
  <c r="P245" i="1" s="1"/>
  <c r="O245" i="1"/>
  <c r="I246" i="1"/>
  <c r="M246" i="1" s="1"/>
  <c r="J246" i="1"/>
  <c r="N246" i="1" s="1"/>
  <c r="K246" i="1"/>
  <c r="L246" i="1"/>
  <c r="O246" i="1"/>
  <c r="P246" i="1"/>
  <c r="I247" i="1"/>
  <c r="J247" i="1"/>
  <c r="K247" i="1"/>
  <c r="L247" i="1"/>
  <c r="M247" i="1"/>
  <c r="N247" i="1"/>
  <c r="O247" i="1"/>
  <c r="P247" i="1"/>
  <c r="I248" i="1"/>
  <c r="M248" i="1" s="1"/>
  <c r="J248" i="1"/>
  <c r="N248" i="1" s="1"/>
  <c r="K248" i="1"/>
  <c r="O248" i="1" s="1"/>
  <c r="L248" i="1"/>
  <c r="P248" i="1"/>
  <c r="I249" i="1"/>
  <c r="M249" i="1" s="1"/>
  <c r="J249" i="1"/>
  <c r="N249" i="1" s="1"/>
  <c r="K249" i="1"/>
  <c r="O249" i="1" s="1"/>
  <c r="L249" i="1"/>
  <c r="P249" i="1" s="1"/>
  <c r="I250" i="1"/>
  <c r="J250" i="1"/>
  <c r="N250" i="1" s="1"/>
  <c r="K250" i="1"/>
  <c r="L250" i="1"/>
  <c r="P250" i="1" s="1"/>
  <c r="M250" i="1"/>
  <c r="O250" i="1"/>
  <c r="L8" i="1"/>
  <c r="P8" i="1" s="1"/>
  <c r="K8" i="1"/>
  <c r="O8" i="1" s="1"/>
  <c r="J8" i="1"/>
  <c r="N8" i="1" s="1"/>
  <c r="I8" i="1"/>
  <c r="M8" i="1" s="1"/>
</calcChain>
</file>

<file path=xl/sharedStrings.xml><?xml version="1.0" encoding="utf-8"?>
<sst xmlns="http://schemas.openxmlformats.org/spreadsheetml/2006/main" count="921" uniqueCount="490">
  <si>
    <t>MLFB Код</t>
  </si>
  <si>
    <t>6MD66415EB250AA3----------------</t>
  </si>
  <si>
    <t>Версия ПО терминала</t>
  </si>
  <si>
    <t>V04.70.02</t>
  </si>
  <si>
    <t>Топология</t>
  </si>
  <si>
    <t>TEST / Аэропорт / ВТ1 / 6MD664 V4.7 АУВ В 220 Т-</t>
  </si>
  <si>
    <t>Версия SiemensPie</t>
  </si>
  <si>
    <t>C5B12D13</t>
  </si>
  <si>
    <t>Конфигурация устройства</t>
  </si>
  <si>
    <t>0103</t>
  </si>
  <si>
    <t>Переключ Группы</t>
  </si>
  <si>
    <t>Выведено_x000D_
Введено</t>
  </si>
  <si>
    <t>Выведено</t>
  </si>
  <si>
    <t>Опция переключения группы уставок</t>
  </si>
  <si>
    <t>0x2000016769F1</t>
  </si>
  <si>
    <t>Изм U_1</t>
  </si>
  <si>
    <t>Введено</t>
  </si>
  <si>
    <t>Измерение U</t>
  </si>
  <si>
    <t>0x2000016769F2</t>
  </si>
  <si>
    <t>Изм I_1</t>
  </si>
  <si>
    <t>Измерение I</t>
  </si>
  <si>
    <t>0x2000016769F3</t>
  </si>
  <si>
    <t>Изм 1ф_1</t>
  </si>
  <si>
    <t>Однофазное измерение, группа измерений 1</t>
  </si>
  <si>
    <t>0x2000016769F4</t>
  </si>
  <si>
    <t>Изм 1ф_2</t>
  </si>
  <si>
    <t>Однофазное измерение, группа измерений 2</t>
  </si>
  <si>
    <t>0x2000016769F5</t>
  </si>
  <si>
    <t>Изм 1ф_3</t>
  </si>
  <si>
    <t>Однофазное измерение, группа измерений 3</t>
  </si>
  <si>
    <t>0x2000016769F6</t>
  </si>
  <si>
    <t>Изм 3ф_1</t>
  </si>
  <si>
    <t>Трехфазное измерение, группа измерений 1</t>
  </si>
  <si>
    <t>0x2000016769F7</t>
  </si>
  <si>
    <t>Изм по сх.Арона</t>
  </si>
  <si>
    <t>Измер по схем.2Ваттметров,группа измер.1</t>
  </si>
  <si>
    <t>0x2000016769DD</t>
  </si>
  <si>
    <t>ФункцСинхрон 1</t>
  </si>
  <si>
    <t>Функция синхронизации 1</t>
  </si>
  <si>
    <t>0x2000016769DE</t>
  </si>
  <si>
    <t>ФункцСинхрон 2</t>
  </si>
  <si>
    <t>Функция синхронизации 2</t>
  </si>
  <si>
    <t>0x2000016769DF</t>
  </si>
  <si>
    <t>ФункцСинхрон 3</t>
  </si>
  <si>
    <t>Функция синхронизации 3</t>
  </si>
  <si>
    <t>0x2000016769E0</t>
  </si>
  <si>
    <t>ФункцСинхрон 4</t>
  </si>
  <si>
    <t>Функция синхронизации 4</t>
  </si>
  <si>
    <t>0x2000016769E1</t>
  </si>
  <si>
    <t>ФункцСинхрон 5</t>
  </si>
  <si>
    <t>Функция синхронизации 5</t>
  </si>
  <si>
    <t>0x2000016769E2</t>
  </si>
  <si>
    <t>ФункцСинхрон 6</t>
  </si>
  <si>
    <t>Функция синхронизации 6</t>
  </si>
  <si>
    <t>0x2000016769E3</t>
  </si>
  <si>
    <t>ФункцСинхрон 7</t>
  </si>
  <si>
    <t>Функция синхронизации 7</t>
  </si>
  <si>
    <t>0x2000016769E4</t>
  </si>
  <si>
    <t>ФункцСинхрон 8</t>
  </si>
  <si>
    <t>Функция синхронизации 8</t>
  </si>
  <si>
    <t>0110</t>
  </si>
  <si>
    <t>Режим Пускат</t>
  </si>
  <si>
    <t>только 3 фазный_x000D_
1-/3ф</t>
  </si>
  <si>
    <t>только 3 фазный</t>
  </si>
  <si>
    <t>Режим срабатывания</t>
  </si>
  <si>
    <t>0133</t>
  </si>
  <si>
    <t>АПВ</t>
  </si>
  <si>
    <t>1 АПВ-цикл_x000D_
2 АПВ-цикла_x000D_
3 АПВ-цикла_x000D_
4 АПВ-цикла_x000D_
5 АПВ-циклов_x000D_
6 АПВ-циклов_x000D_
7 АПВ-циклов_x000D_
8 АПВ-циклов_x000D_
Адаптивная бестоковая Пауза (АБП)_x000D_
Выведено</t>
  </si>
  <si>
    <t>1 АПВ-цикл</t>
  </si>
  <si>
    <t>Автоматическое повторное включение</t>
  </si>
  <si>
    <t>0134</t>
  </si>
  <si>
    <t>АПВ режим упр</t>
  </si>
  <si>
    <t>с пуском и временем действия_x000D_
с пуском без времени действия_x000D_
с Отключением и временем действия_x000D_
с Отключением без времени действия</t>
  </si>
  <si>
    <t>с Отключением без времени действия</t>
  </si>
  <si>
    <t>АПВ режим управления</t>
  </si>
  <si>
    <t>0139</t>
  </si>
  <si>
    <t>УРОВ</t>
  </si>
  <si>
    <t>Устр. резерв. отказа выключателя (УРОВ)</t>
  </si>
  <si>
    <t>Адрес</t>
  </si>
  <si>
    <t>Параметр</t>
  </si>
  <si>
    <t>Значение/диапазон/шаг</t>
  </si>
  <si>
    <t>Задаваемый параметр</t>
  </si>
  <si>
    <t>Комментарий</t>
  </si>
  <si>
    <t>Общие установки утройства</t>
  </si>
  <si>
    <t>Общее</t>
  </si>
  <si>
    <t>0401</t>
  </si>
  <si>
    <t>Время подсветки</t>
  </si>
  <si>
    <t>1 … 60 мин</t>
  </si>
  <si>
    <t>10 мин</t>
  </si>
  <si>
    <t>0402</t>
  </si>
  <si>
    <t>DIGSI задн.порт</t>
  </si>
  <si>
    <t>Выведено_x000D_
Порт С_x000D_
Порт D</t>
  </si>
  <si>
    <t>Порт D</t>
  </si>
  <si>
    <t>Задний порт для DIGSI</t>
  </si>
  <si>
    <t>0407</t>
  </si>
  <si>
    <t>ИндПовр СД/Дсп</t>
  </si>
  <si>
    <t>Отображение сообщений при каждом пуске_x000D_
Отображение сообщений только при откл.</t>
  </si>
  <si>
    <t>Отображение сообщений при каждом пуске</t>
  </si>
  <si>
    <t>Индикация повреждений: светодиод/дисплей</t>
  </si>
  <si>
    <t>0408</t>
  </si>
  <si>
    <t>СпонтОтобрПовр</t>
  </si>
  <si>
    <t>НЕТ_x000D_
ДА</t>
  </si>
  <si>
    <t>НЕТ</t>
  </si>
  <si>
    <t>Спонтанное отображ.сообщений о поврежд.</t>
  </si>
  <si>
    <t>Данные энергосистемы 1</t>
  </si>
  <si>
    <t>Параметры сети</t>
  </si>
  <si>
    <t>0203</t>
  </si>
  <si>
    <t>Uном Первич</t>
  </si>
  <si>
    <t>1.0 … 1200.0 кВ</t>
  </si>
  <si>
    <t>220.0 кВ</t>
  </si>
  <si>
    <t>Первичное номинальное напряжение</t>
  </si>
  <si>
    <t>0204</t>
  </si>
  <si>
    <t>Uном Вторич</t>
  </si>
  <si>
    <t>80 … 125 В</t>
  </si>
  <si>
    <t>100 В</t>
  </si>
  <si>
    <t>Вторичное номинальное напряжение</t>
  </si>
  <si>
    <t>0205</t>
  </si>
  <si>
    <t>Iном первич ТТ</t>
  </si>
  <si>
    <t>10 … 5000 А</t>
  </si>
  <si>
    <t>1000 А</t>
  </si>
  <si>
    <t>Первичный номинальный ток ТТ</t>
  </si>
  <si>
    <t>0206</t>
  </si>
  <si>
    <t>Iном вротич ТТ</t>
  </si>
  <si>
    <t>1А_x000D_
5А</t>
  </si>
  <si>
    <t>1А</t>
  </si>
  <si>
    <t>Вторичный номинальный ток ТТ</t>
  </si>
  <si>
    <t>0214</t>
  </si>
  <si>
    <t>Номин Частота</t>
  </si>
  <si>
    <t>50 Гц_x000D_
60 Гц</t>
  </si>
  <si>
    <t>50 Гц</t>
  </si>
  <si>
    <t>Номинальная частота</t>
  </si>
  <si>
    <t>Выключатель</t>
  </si>
  <si>
    <t>0240</t>
  </si>
  <si>
    <t>Тмин Ком Откл</t>
  </si>
  <si>
    <t>0.02 … 30.00 сек</t>
  </si>
  <si>
    <t>0.10 сек</t>
  </si>
  <si>
    <t>Мин. длительность команды отключения</t>
  </si>
  <si>
    <t>0241</t>
  </si>
  <si>
    <t>Тмакс Ком Вкл</t>
  </si>
  <si>
    <t>0.01 … 30.00 сек</t>
  </si>
  <si>
    <t>0.15 сек</t>
  </si>
  <si>
    <t>Макс. длительность команды включения</t>
  </si>
  <si>
    <t>Регистрация аварийных режимов</t>
  </si>
  <si>
    <t>Рег Авар Режим</t>
  </si>
  <si>
    <t>0901</t>
  </si>
  <si>
    <t>Запуск Регистр</t>
  </si>
  <si>
    <t>Сохранить при пуске_x000D_
Сохранить при отключении_x000D_
Пуск при отключении</t>
  </si>
  <si>
    <t>Сохранить при пуске</t>
  </si>
  <si>
    <t>Запуск регистрации повреждений</t>
  </si>
  <si>
    <t>0902</t>
  </si>
  <si>
    <t>Объем Регистр</t>
  </si>
  <si>
    <t>Повреждение_x000D_
Повреждение в энергосистеме</t>
  </si>
  <si>
    <t>Повреждение в энергосистеме</t>
  </si>
  <si>
    <t>Объем записываемых данных</t>
  </si>
  <si>
    <t>0903</t>
  </si>
  <si>
    <t>Макс время Рег</t>
  </si>
  <si>
    <t>0.30 … 5.00 сек</t>
  </si>
  <si>
    <t>5.00 сек</t>
  </si>
  <si>
    <t>Максимальное время записи повреждения</t>
  </si>
  <si>
    <t>0904</t>
  </si>
  <si>
    <t>Время до Нач</t>
  </si>
  <si>
    <t>0.05 … 0.50 сек</t>
  </si>
  <si>
    <t>0.50 сек</t>
  </si>
  <si>
    <t>Время записи до начала регистрации</t>
  </si>
  <si>
    <t>0905</t>
  </si>
  <si>
    <t>Врем после Повр</t>
  </si>
  <si>
    <t>Время записи после повреждения</t>
  </si>
  <si>
    <t>0906</t>
  </si>
  <si>
    <t>ВремяЗаписи ДВх</t>
  </si>
  <si>
    <t>0.10 … 5.00 сек; oo</t>
  </si>
  <si>
    <t>Время записи при пуске через дискр.вход</t>
  </si>
  <si>
    <t>Параметры энергосистемы 2</t>
  </si>
  <si>
    <t>1130A</t>
  </si>
  <si>
    <t>ТокРазомкФазы</t>
  </si>
  <si>
    <t>0.05 … 1.00 А</t>
  </si>
  <si>
    <t>0.05 А</t>
  </si>
  <si>
    <t>Порог Тока Разомкнутой Фазы</t>
  </si>
  <si>
    <t>1135</t>
  </si>
  <si>
    <t>Сброс Ком.Откл.</t>
  </si>
  <si>
    <t>Превыш порога I остаточного_x000D_
бл-конт ВЫКЛ и I&lt; остаточный</t>
  </si>
  <si>
    <t>Превыш порога I остаточного</t>
  </si>
  <si>
    <t>СБРОС Команды Отключения</t>
  </si>
  <si>
    <t>1150A</t>
  </si>
  <si>
    <t>ДейсПослРучВкл</t>
  </si>
  <si>
    <t>0.60 сек</t>
  </si>
  <si>
    <t>Продолжит.действия после РУЧН.включения</t>
  </si>
  <si>
    <t>0x2000029E6978</t>
  </si>
  <si>
    <t>ТН ВторНапр</t>
  </si>
  <si>
    <t>0.00 … 200.00 В</t>
  </si>
  <si>
    <t>100.00 В</t>
  </si>
  <si>
    <t>Номинальное значение вторичного напряж.</t>
  </si>
  <si>
    <t>0x2000029F6978</t>
  </si>
  <si>
    <t>0x2000029F6979</t>
  </si>
  <si>
    <t>ТТ ЗначВторТока</t>
  </si>
  <si>
    <t>0.00 … 5.00 А</t>
  </si>
  <si>
    <t>1.00 А</t>
  </si>
  <si>
    <t>Номинальное значение вторичного тока</t>
  </si>
  <si>
    <t>0x200002A26978</t>
  </si>
  <si>
    <t>0x200002A26979</t>
  </si>
  <si>
    <t>СИНХР. Группа функций 6</t>
  </si>
  <si>
    <t>Параметры ЭС</t>
  </si>
  <si>
    <t>0x2000041064A3</t>
  </si>
  <si>
    <t>ВЫКЛ Собст Врем</t>
  </si>
  <si>
    <t>0.01 … 0.60 сек</t>
  </si>
  <si>
    <t>0.06 сек</t>
  </si>
  <si>
    <t>Собственное время включения ВЫКЛ</t>
  </si>
  <si>
    <t>0x200004106982</t>
  </si>
  <si>
    <t>КоэффБал U1/U2</t>
  </si>
  <si>
    <t xml:space="preserve">0.80 … 1.20 </t>
  </si>
  <si>
    <t>1.00</t>
  </si>
  <si>
    <t>Коэффициент баланса U1/U2</t>
  </si>
  <si>
    <t>0x200004106983</t>
  </si>
  <si>
    <t>Угол U1-U2</t>
  </si>
  <si>
    <t>0 … 360 °</t>
  </si>
  <si>
    <t>330 °</t>
  </si>
  <si>
    <t>Задание угла U1-U2</t>
  </si>
  <si>
    <t>0x200004106984</t>
  </si>
  <si>
    <t>ТН1 ВторНапр</t>
  </si>
  <si>
    <t>0.00 … 170.00 В</t>
  </si>
  <si>
    <t>Номинальное значение вторич напряжения</t>
  </si>
  <si>
    <t>0x200004106985</t>
  </si>
  <si>
    <t>ТН2 ВторНапр</t>
  </si>
  <si>
    <t>0x200004106986</t>
  </si>
  <si>
    <t>Uмин</t>
  </si>
  <si>
    <t>20 … 125 В</t>
  </si>
  <si>
    <t>60 В</t>
  </si>
  <si>
    <t>Мин. напряжение для синхронизации</t>
  </si>
  <si>
    <t>0x200004106987</t>
  </si>
  <si>
    <t>Uмакс</t>
  </si>
  <si>
    <t>20 … 140 В</t>
  </si>
  <si>
    <t>120 В</t>
  </si>
  <si>
    <t>Макс. напряжение для синхронизации</t>
  </si>
  <si>
    <t>0x200004106988</t>
  </si>
  <si>
    <t>Uобест</t>
  </si>
  <si>
    <t>1 … 60 В</t>
  </si>
  <si>
    <t>50 В</t>
  </si>
  <si>
    <t>Порог напр. обесточен. линии/шин</t>
  </si>
  <si>
    <t>0x200004106989</t>
  </si>
  <si>
    <t>Синхр.U1&gt;U2&lt;</t>
  </si>
  <si>
    <t>ДА_x000D_
НЕТ</t>
  </si>
  <si>
    <t>Синхронизация по условию U1&gt; и U2&lt;</t>
  </si>
  <si>
    <t>0x20000410698A</t>
  </si>
  <si>
    <t>Синхр.U1&lt;U2&gt;</t>
  </si>
  <si>
    <t>Синхронизация по условию U1&lt; и U2&gt;</t>
  </si>
  <si>
    <t>0x20000410698B</t>
  </si>
  <si>
    <t>Синхр.U1&lt;U2&lt;</t>
  </si>
  <si>
    <t>Синхронизация по условию U1&lt; и U2&lt;</t>
  </si>
  <si>
    <t>0x2000041064A7</t>
  </si>
  <si>
    <t>Т синхр длит</t>
  </si>
  <si>
    <t>1.00 … 600.00 сек</t>
  </si>
  <si>
    <t>60.00 сек</t>
  </si>
  <si>
    <t>Макс. время процесса синхронизации</t>
  </si>
  <si>
    <t>0x2000041064B1</t>
  </si>
  <si>
    <t>fмин</t>
  </si>
  <si>
    <t>95 … 105 %</t>
  </si>
  <si>
    <t>97 %</t>
  </si>
  <si>
    <t>Минимальная частота</t>
  </si>
  <si>
    <t>0x2000041064B2</t>
  </si>
  <si>
    <t>fмакс</t>
  </si>
  <si>
    <t>101 %</t>
  </si>
  <si>
    <t>Максимальная частота</t>
  </si>
  <si>
    <t>АсинхрУсловия</t>
  </si>
  <si>
    <t>0x200004106990</t>
  </si>
  <si>
    <t>РазнU АсинхрВкл</t>
  </si>
  <si>
    <t>0.5 … 40.0 В</t>
  </si>
  <si>
    <t>22.7 В</t>
  </si>
  <si>
    <t>Макс.разница напряжений для асинхр.вкл.</t>
  </si>
  <si>
    <t>0x20000410698D</t>
  </si>
  <si>
    <t>Разн f СинхрВкл</t>
  </si>
  <si>
    <t>0.01 … 2.00 Гц</t>
  </si>
  <si>
    <t>0.40 Гц</t>
  </si>
  <si>
    <t>Макс.разница частот для синхр.включения</t>
  </si>
  <si>
    <t>СинхрУсловия</t>
  </si>
  <si>
    <t>0x20000410698F</t>
  </si>
  <si>
    <t>f синхрон</t>
  </si>
  <si>
    <t>10 … 40 мГц</t>
  </si>
  <si>
    <t>40 мГц</t>
  </si>
  <si>
    <t>Порог.знач. f для синхр./асинхр. включ.</t>
  </si>
  <si>
    <t>0x20000410698C</t>
  </si>
  <si>
    <t>РазнU СинхрВкл</t>
  </si>
  <si>
    <t>Макс.разница напряжений для синхр.включ.</t>
  </si>
  <si>
    <t>0x20000410698E</t>
  </si>
  <si>
    <t>2 … 90 °</t>
  </si>
  <si>
    <t>40 °</t>
  </si>
  <si>
    <t>Макс.разница углов для синхр.включения</t>
  </si>
  <si>
    <t>Разн φ СинхрВкл</t>
  </si>
  <si>
    <t>0x200004106991</t>
  </si>
  <si>
    <t>Т синхрон</t>
  </si>
  <si>
    <t>0.00 … 60.00 сек</t>
  </si>
  <si>
    <t>0.30 сек</t>
  </si>
  <si>
    <t>Миним.время наличия усл.синхронизма</t>
  </si>
  <si>
    <t>СИНХР. Группа функций 7</t>
  </si>
  <si>
    <t>0x2000041164A3</t>
  </si>
  <si>
    <t>0x200004116982</t>
  </si>
  <si>
    <t>0x200004116983</t>
  </si>
  <si>
    <t>0x200004116984</t>
  </si>
  <si>
    <t>0x200004116985</t>
  </si>
  <si>
    <t>0x200004116986</t>
  </si>
  <si>
    <t>0x200004116987</t>
  </si>
  <si>
    <t>0x200004116988</t>
  </si>
  <si>
    <t>0x200004116989</t>
  </si>
  <si>
    <t>0x20000411698A</t>
  </si>
  <si>
    <t>0x20000411698B</t>
  </si>
  <si>
    <t>0x2000041164A7</t>
  </si>
  <si>
    <t>0x2000041164B1</t>
  </si>
  <si>
    <t>0x2000041164B2</t>
  </si>
  <si>
    <t>0x200004116990</t>
  </si>
  <si>
    <t>0x20000411698D</t>
  </si>
  <si>
    <t>0x20000411698F</t>
  </si>
  <si>
    <t>0x20000411698C</t>
  </si>
  <si>
    <t>0x20000411698E</t>
  </si>
  <si>
    <t>0x200004116991</t>
  </si>
  <si>
    <t>СИНХР. Группа функций 8</t>
  </si>
  <si>
    <t>0x2000041264A3</t>
  </si>
  <si>
    <t>0x200004126982</t>
  </si>
  <si>
    <t>0x200004126983</t>
  </si>
  <si>
    <t>0x200004126984</t>
  </si>
  <si>
    <t>0x200004126985</t>
  </si>
  <si>
    <t>0x200004126986</t>
  </si>
  <si>
    <t>0x200004126987</t>
  </si>
  <si>
    <t>0x200004126988</t>
  </si>
  <si>
    <t>0x200004126989</t>
  </si>
  <si>
    <t>ДА</t>
  </si>
  <si>
    <t>0x20000412698A</t>
  </si>
  <si>
    <t>0x20000412698B</t>
  </si>
  <si>
    <t>0x2000041264A7</t>
  </si>
  <si>
    <t>0x2000041264B1</t>
  </si>
  <si>
    <t>0x2000041264B2</t>
  </si>
  <si>
    <t>0x200004126990</t>
  </si>
  <si>
    <t>0x20000412698D</t>
  </si>
  <si>
    <t>0x20000412698F</t>
  </si>
  <si>
    <t>0x20000412698C</t>
  </si>
  <si>
    <t>0x20000412698E</t>
  </si>
  <si>
    <t>0x200004126991</t>
  </si>
  <si>
    <t>3401</t>
  </si>
  <si>
    <t>ОТКЛ_x000D_
ВКЛ</t>
  </si>
  <si>
    <t>ВКЛ</t>
  </si>
  <si>
    <t>3402</t>
  </si>
  <si>
    <t>Опрос готовности ВЫКЛ перед 1ым откл</t>
  </si>
  <si>
    <t>ВЫКЛ, Контроль</t>
  </si>
  <si>
    <t>3403</t>
  </si>
  <si>
    <t>Время возвр АПВ</t>
  </si>
  <si>
    <t>0.50 … 300.00 сек</t>
  </si>
  <si>
    <t>20.00 сек</t>
  </si>
  <si>
    <t>Время возврата АПВ</t>
  </si>
  <si>
    <t>3404</t>
  </si>
  <si>
    <t>Тблок ручн. вкл</t>
  </si>
  <si>
    <t>0.50 … 300.00 сек; 0</t>
  </si>
  <si>
    <t>Время блокиров. АПВ после ручн. включ.</t>
  </si>
  <si>
    <t>3406</t>
  </si>
  <si>
    <t>ОБНАР Разв Повр</t>
  </si>
  <si>
    <t>с Пуском_x000D_
с Отключением</t>
  </si>
  <si>
    <t>с Отключением</t>
  </si>
  <si>
    <t>Обнаружение развивающегося повреждения</t>
  </si>
  <si>
    <t>3407</t>
  </si>
  <si>
    <t>РЕЖ ОБНАР ПОВР</t>
  </si>
  <si>
    <t>блокирует АПВ_x000D_
пуск цикла 3ф АПВ</t>
  </si>
  <si>
    <t>блокирует АПВ</t>
  </si>
  <si>
    <t>Обнар. развив. повр.(во вр.бесток.паузы)</t>
  </si>
  <si>
    <t>3408</t>
  </si>
  <si>
    <t>Тпуска КОНТРОЛЬ</t>
  </si>
  <si>
    <t>0.01 … 300.00 сек</t>
  </si>
  <si>
    <t>Время контроля пуска</t>
  </si>
  <si>
    <t>3409</t>
  </si>
  <si>
    <t>Т контр ВЫКЛ</t>
  </si>
  <si>
    <t>1.00 сек</t>
  </si>
  <si>
    <t>Время контроля выключателя</t>
  </si>
  <si>
    <t>3410</t>
  </si>
  <si>
    <t>Т УдалВключ</t>
  </si>
  <si>
    <t>0.00 … 300.00 сек; oo</t>
  </si>
  <si>
    <t>oo сек</t>
  </si>
  <si>
    <t>Выдержка отправки удал.командывключения</t>
  </si>
  <si>
    <t>3411A</t>
  </si>
  <si>
    <t>Т паузы ПРОДЛ</t>
  </si>
  <si>
    <t>0.50 … 300.00 сек; oo</t>
  </si>
  <si>
    <t>Макс. время продления паузы</t>
  </si>
  <si>
    <t>1 цикл АПВ</t>
  </si>
  <si>
    <t>3457</t>
  </si>
  <si>
    <t>1.АПВ:Тп3ф Откл</t>
  </si>
  <si>
    <t>0.01 … 1800.00 сек; oo</t>
  </si>
  <si>
    <t>2.30 сек</t>
  </si>
  <si>
    <t>Время бестоковой паузы при 3ф откл.</t>
  </si>
  <si>
    <t>3458</t>
  </si>
  <si>
    <t>1.АПВ:ТпРазвКЗ</t>
  </si>
  <si>
    <t>0.01 … 1800.00 сек</t>
  </si>
  <si>
    <t>1800.00 сек</t>
  </si>
  <si>
    <t>Время бестоковой паузы при развивающ КЗ</t>
  </si>
  <si>
    <t>3459</t>
  </si>
  <si>
    <t>Опрос готовности сил.выкл.перед включ.</t>
  </si>
  <si>
    <t>1.АПВ:ВЫКЛ,гот</t>
  </si>
  <si>
    <t>3460</t>
  </si>
  <si>
    <t>1.АПВ ЗапрСинх</t>
  </si>
  <si>
    <t>Запрос для пров синхрон после 3ф АПВ</t>
  </si>
  <si>
    <t>3ф.откл/ПОЛ/УБП</t>
  </si>
  <si>
    <t>3430</t>
  </si>
  <si>
    <t>АПВ ОТКЛ 3ф</t>
  </si>
  <si>
    <t>3ф ОТКЛ при блокировании ОАПВ</t>
  </si>
  <si>
    <t>3431</t>
  </si>
  <si>
    <t>ПОЛ или АБП</t>
  </si>
  <si>
    <t>без_x000D_
Укороченная Бесток. Пауза (УБП)_x000D_
Проверка Обесточенности Линии (ПОЛ)</t>
  </si>
  <si>
    <t>без</t>
  </si>
  <si>
    <t>ПровОбесточЛин или АдаптБестокПаузы</t>
  </si>
  <si>
    <t>3438</t>
  </si>
  <si>
    <t>Т Uстаб</t>
  </si>
  <si>
    <t>0.10 … 30.00 сек</t>
  </si>
  <si>
    <t>Время контроля налич/отсутств напряжения</t>
  </si>
  <si>
    <t>3440</t>
  </si>
  <si>
    <t>Uс/напр&gt;</t>
  </si>
  <si>
    <t>30 … 90 В</t>
  </si>
  <si>
    <t>48 В</t>
  </si>
  <si>
    <t>Порог напряж.для линии или шин под напр</t>
  </si>
  <si>
    <t>3441</t>
  </si>
  <si>
    <t>U-б/напр&lt;</t>
  </si>
  <si>
    <t>2 … 70 В</t>
  </si>
  <si>
    <t>30 В</t>
  </si>
  <si>
    <t>Порог напряж.для линии или шин б/напр</t>
  </si>
  <si>
    <t>3901</t>
  </si>
  <si>
    <t>Ф-я УРОВ</t>
  </si>
  <si>
    <t>ВКЛ_x000D_
ОТКЛ</t>
  </si>
  <si>
    <t>Ф-я УРОВ является</t>
  </si>
  <si>
    <t>3902</t>
  </si>
  <si>
    <t>I&gt; УРОВ</t>
  </si>
  <si>
    <t>0.05 … 1.20 А</t>
  </si>
  <si>
    <t>Порог срабатывания I&gt;</t>
  </si>
  <si>
    <t>3912</t>
  </si>
  <si>
    <t>IЕ&gt; УРОВ</t>
  </si>
  <si>
    <t>Порог срабатывания IЕ&gt;</t>
  </si>
  <si>
    <t>3909</t>
  </si>
  <si>
    <t>Конт ВЫКЛ Б/К</t>
  </si>
  <si>
    <t>Контроль выключателя по блок/конт</t>
  </si>
  <si>
    <t>3911</t>
  </si>
  <si>
    <t>Контр Ранж ИП</t>
  </si>
  <si>
    <t>Контроль достоверн. ранжир. изм.преобраз</t>
  </si>
  <si>
    <t>Ком Откл Т1/Т2</t>
  </si>
  <si>
    <t>3904</t>
  </si>
  <si>
    <t>Т1-1ф</t>
  </si>
  <si>
    <t>0.00 … 30.00 сек; oo</t>
  </si>
  <si>
    <t>0.12 сек</t>
  </si>
  <si>
    <t>Т1, Выдерж.после 1ф пуска (местн. откл)</t>
  </si>
  <si>
    <t>3905</t>
  </si>
  <si>
    <t>Т1-3ф</t>
  </si>
  <si>
    <t>Т1, Выерж.после 3ф пуска (местн. откл)</t>
  </si>
  <si>
    <t>3906</t>
  </si>
  <si>
    <t>Т2</t>
  </si>
  <si>
    <t>Выдержка времени Т2</t>
  </si>
  <si>
    <t>Неиспр ВЫКЛ</t>
  </si>
  <si>
    <t>3907</t>
  </si>
  <si>
    <t>Т3 Неисп ВЫКЛ</t>
  </si>
  <si>
    <t>0.20 сек</t>
  </si>
  <si>
    <t>Т3, Выдержка врем при неиспр. ВЫКЛ</t>
  </si>
  <si>
    <t>3908</t>
  </si>
  <si>
    <t>ОтклНеиспВыключ</t>
  </si>
  <si>
    <t>НЕТ_x000D_
УРОВ Откл (Т1)_x000D_
УРОВ Откл (Т2)_x000D_
УРОВ Откл (Т1 и Т2)</t>
  </si>
  <si>
    <t>УРОВ Откл (Т1 и Т2)</t>
  </si>
  <si>
    <t>Выбор выдачи ком.откл. при неисп.ВЫКЛ</t>
  </si>
  <si>
    <t>Защ Конц Прис</t>
  </si>
  <si>
    <t>3921</t>
  </si>
  <si>
    <t>ЗащКЗ мертв зон</t>
  </si>
  <si>
    <t>Защита от КЗ в "мертвой зоне"</t>
  </si>
  <si>
    <t>3922</t>
  </si>
  <si>
    <t>ВыдВрЗащМертЗон</t>
  </si>
  <si>
    <t>Выд.врем. защ. от КЗ в "мертвой зоне"</t>
  </si>
  <si>
    <t>Расхождение Фаз</t>
  </si>
  <si>
    <t>3931</t>
  </si>
  <si>
    <t>Защ. от НПФ</t>
  </si>
  <si>
    <t>ОТКЛ</t>
  </si>
  <si>
    <t>Защита от непереключения фаз</t>
  </si>
  <si>
    <t>3932</t>
  </si>
  <si>
    <t>ВыдВрем ЗНПФ</t>
  </si>
  <si>
    <t>Выд.врем. защ. от непереключения фаз</t>
  </si>
  <si>
    <t>ЗащДугПерекр</t>
  </si>
  <si>
    <t>3940</t>
  </si>
  <si>
    <t>Защита от дуговых перекрытий</t>
  </si>
  <si>
    <t>Контроль измеряемых величин</t>
  </si>
  <si>
    <t>2915</t>
  </si>
  <si>
    <t>Контр БНН</t>
  </si>
  <si>
    <t>с контролем тока_x000D_
с контролем тока и бл-контактов сил.вык._x000D_
ОТКЛ</t>
  </si>
  <si>
    <t>с контролем тока</t>
  </si>
  <si>
    <t>Контроль БНН</t>
  </si>
  <si>
    <t>2916A</t>
  </si>
  <si>
    <t>Т БНН</t>
  </si>
  <si>
    <t>0.00 … 30.00 сек</t>
  </si>
  <si>
    <t>9.00 сек</t>
  </si>
  <si>
    <t>Выдержка Врем Контроля БНН</t>
  </si>
  <si>
    <t>2917</t>
  </si>
  <si>
    <t>БНН U&lt; (3ф)</t>
  </si>
  <si>
    <t>2 … 100 В</t>
  </si>
  <si>
    <t>29 В</t>
  </si>
  <si>
    <t>Порог напряжения U&lt; (3ф) для БНН</t>
  </si>
  <si>
    <t>Потерянные уставки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</si>
</sst>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3"/>
      <color rgb="FFFFFFFF"/>
      <name val="Calibri"/>
      <family val="2"/>
      <scheme val="minor"/>
    </font>
    <font>
      <sz val="11"/>
      <color rgb="FF0000FF"/>
      <name val="Calibri"/>
      <family val="2"/>
      <scheme val="minor"/>
    </font>
    <font>
      <b/>
      <sz val="11"/>
      <color rgb="FF0000FF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EECE1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49" fontId="0" fillId="0" borderId="0" xfId="0" applyNumberForma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left" vertical="center"/>
    </xf>
    <xf numFmtId="0" fontId="0" fillId="0" borderId="0" xfId="0" quotePrefix="1" applyAlignment="1">
      <alignment horizontal="center" vertical="center"/>
    </xf>
    <xf numFmtId="49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left" vertical="center" wrapText="1"/>
    </xf>
    <xf numFmtId="49" fontId="5" fillId="3" borderId="0" xfId="0" applyNumberFormat="1" applyFont="1" applyFill="1" applyAlignment="1">
      <alignment horizontal="center" vertical="center" wrapText="1"/>
    </xf>
    <xf numFmtId="49" fontId="4" fillId="3" borderId="0" xfId="0" applyNumberFormat="1" applyFont="1" applyFill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057;&#1056;&#1047;&#1040;/&#1059;&#1089;&#1090;&#1072;&#1074;&#1082;&#1080;/&#1058;&#1072;&#1073;&#1083;&#1080;&#1094;&#1099;%20&#1056;&#1047;&#1040;/&#1058;&#1072;&#1073;&#1083;&#1080;&#1094;&#1099;%20&#1076;&#1083;&#1103;%20&#1080;&#1089;&#1087;&#1086;&#1083;&#1085;&#1077;&#1085;&#1080;&#1103;%20&#1056;&#1047;&#1040;/&#1040;&#1101;&#1088;&#1086;&#1087;&#1086;&#1088;&#1090;/&#1040;&#1101;&#1088;&#1086;&#1087;&#1086;&#1088;&#1090;%20&#1042;-220-&#1058;1-6MD664-19-230&#108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Задание"/>
      <sheetName val="ТУ"/>
    </sheetNames>
    <sheetDataSet>
      <sheetData sheetId="0"/>
      <sheetData sheetId="1">
        <row r="1">
          <cell r="A1" t="str">
            <v/>
          </cell>
          <cell r="B1"/>
          <cell r="C1"/>
          <cell r="D1"/>
          <cell r="E1"/>
          <cell r="F1"/>
          <cell r="G1"/>
        </row>
        <row r="2">
          <cell r="A2" t="str">
            <v/>
          </cell>
          <cell r="B2"/>
          <cell r="C2"/>
          <cell r="D2"/>
          <cell r="E2"/>
          <cell r="F2"/>
          <cell r="G2"/>
        </row>
        <row r="3">
          <cell r="A3" t="str">
            <v/>
          </cell>
          <cell r="B3"/>
          <cell r="C3"/>
          <cell r="D3"/>
          <cell r="E3"/>
          <cell r="F3"/>
          <cell r="G3"/>
        </row>
        <row r="4">
          <cell r="A4" t="str">
            <v/>
          </cell>
          <cell r="B4"/>
          <cell r="C4"/>
          <cell r="D4"/>
          <cell r="E4"/>
          <cell r="F4"/>
          <cell r="G4"/>
        </row>
        <row r="5">
          <cell r="A5" t="str">
            <v>TAБЛИЦA  УCTABOK  PEЛEЙHOЙ  ЗAЩИTЫ № б-II-19-230</v>
          </cell>
          <cell r="B5"/>
          <cell r="C5"/>
          <cell r="D5"/>
          <cell r="E5"/>
          <cell r="F5"/>
          <cell r="G5"/>
        </row>
        <row r="6">
          <cell r="A6" t="str">
            <v>ПС 220 кВ Аэропорт         В 220 Т-1</v>
          </cell>
          <cell r="B6"/>
          <cell r="C6"/>
          <cell r="D6"/>
          <cell r="E6"/>
          <cell r="F6"/>
          <cell r="G6"/>
        </row>
        <row r="7">
          <cell r="A7" t="str">
            <v>Терминал защиты 6MD664 V4.70.02</v>
          </cell>
          <cell r="B7"/>
          <cell r="C7"/>
          <cell r="D7"/>
          <cell r="E7"/>
          <cell r="F7"/>
          <cell r="G7"/>
        </row>
        <row r="8">
          <cell r="A8" t="str">
            <v xml:space="preserve"> Ктт = 1000 / 1     Kтн =  2200-U 
</v>
          </cell>
          <cell r="B8"/>
          <cell r="C8"/>
          <cell r="D8"/>
          <cell r="E8"/>
          <cell r="F8"/>
          <cell r="G8"/>
        </row>
        <row r="9">
          <cell r="A9" t="str">
            <v>Конфигурация устройства</v>
          </cell>
          <cell r="B9"/>
          <cell r="C9"/>
          <cell r="D9"/>
          <cell r="E9"/>
          <cell r="F9"/>
          <cell r="G9"/>
        </row>
        <row r="10">
          <cell r="A10" t="str">
            <v>Адрес</v>
          </cell>
          <cell r="B10" t="str">
            <v>Параметр</v>
          </cell>
          <cell r="C10" t="str">
            <v>Значение/диапазон/шаг</v>
          </cell>
          <cell r="D10" t="str">
            <v>Задаваемый параметр</v>
          </cell>
          <cell r="E10"/>
          <cell r="F10"/>
          <cell r="G10"/>
        </row>
        <row r="11">
          <cell r="A11"/>
          <cell r="B11"/>
          <cell r="C11"/>
          <cell r="D11"/>
          <cell r="E11"/>
          <cell r="F11"/>
          <cell r="G11"/>
        </row>
        <row r="12">
          <cell r="A12" t="str">
            <v>0103</v>
          </cell>
          <cell r="B12" t="str">
            <v>Переключ Группы</v>
          </cell>
          <cell r="C12" t="str">
            <v>Выведено_x000D_
Введено</v>
          </cell>
          <cell r="D12" t="str">
            <v>Выведено</v>
          </cell>
          <cell r="E12"/>
          <cell r="F12"/>
          <cell r="G12"/>
        </row>
        <row r="13">
          <cell r="A13" t="str">
            <v>0x2000016769F1</v>
          </cell>
          <cell r="B13" t="str">
            <v>Изм U_1</v>
          </cell>
          <cell r="C13" t="str">
            <v>Выведено_x000D_
Введено</v>
          </cell>
          <cell r="D13" t="str">
            <v>Введено*</v>
          </cell>
          <cell r="E13"/>
          <cell r="F13"/>
          <cell r="G13"/>
        </row>
        <row r="14">
          <cell r="A14" t="str">
            <v>0x2000016769F2</v>
          </cell>
          <cell r="B14" t="str">
            <v>Изм I_1</v>
          </cell>
          <cell r="C14" t="str">
            <v>Выведено_x000D_
Введено</v>
          </cell>
          <cell r="D14" t="str">
            <v>Выведено*</v>
          </cell>
          <cell r="E14"/>
          <cell r="F14"/>
          <cell r="G14"/>
        </row>
        <row r="15">
          <cell r="A15" t="str">
            <v>0x2000016769F3</v>
          </cell>
          <cell r="B15" t="str">
            <v>Изм 1ф_1</v>
          </cell>
          <cell r="C15" t="str">
            <v>Выведено_x000D_
Введено</v>
          </cell>
          <cell r="D15" t="str">
            <v>Введено*</v>
          </cell>
          <cell r="E15"/>
          <cell r="F15"/>
          <cell r="G15"/>
        </row>
        <row r="16">
          <cell r="A16" t="str">
            <v>0x2000016769F4</v>
          </cell>
          <cell r="B16" t="str">
            <v>Изм 1ф_2</v>
          </cell>
          <cell r="C16" t="str">
            <v>Выведено_x000D_
Введено</v>
          </cell>
          <cell r="D16" t="str">
            <v>Выведено*</v>
          </cell>
          <cell r="E16"/>
          <cell r="F16"/>
          <cell r="G16"/>
        </row>
        <row r="17">
          <cell r="A17" t="str">
            <v>0x2000016769F5</v>
          </cell>
          <cell r="B17" t="str">
            <v>Изм 1ф_3</v>
          </cell>
          <cell r="C17" t="str">
            <v>Выведено_x000D_
Введено</v>
          </cell>
          <cell r="D17" t="str">
            <v>Выведено*</v>
          </cell>
          <cell r="E17"/>
          <cell r="F17"/>
          <cell r="G17"/>
        </row>
        <row r="18">
          <cell r="A18" t="str">
            <v>0x2000016769F6</v>
          </cell>
          <cell r="B18" t="str">
            <v>Изм 3ф_1</v>
          </cell>
          <cell r="C18" t="str">
            <v>Выведено_x000D_
Введено</v>
          </cell>
          <cell r="D18" t="str">
            <v>Введено*</v>
          </cell>
          <cell r="E18"/>
          <cell r="F18"/>
          <cell r="G18"/>
        </row>
        <row r="19">
          <cell r="A19" t="str">
            <v>0x2000016769F7</v>
          </cell>
          <cell r="B19" t="str">
            <v>Изм по сх.Арона</v>
          </cell>
          <cell r="C19" t="str">
            <v>Выведено_x000D_
Введено</v>
          </cell>
          <cell r="D19" t="str">
            <v>Выведено*</v>
          </cell>
          <cell r="E19"/>
          <cell r="F19"/>
          <cell r="G19"/>
        </row>
        <row r="20">
          <cell r="A20" t="str">
            <v>0x2000016769DD</v>
          </cell>
          <cell r="B20" t="str">
            <v>ФункцСинхрон 1</v>
          </cell>
          <cell r="C20" t="str">
            <v>Выведено_x000D_
Введено</v>
          </cell>
          <cell r="D20" t="str">
            <v>Выведено*</v>
          </cell>
          <cell r="E20"/>
          <cell r="F20"/>
          <cell r="G20"/>
        </row>
        <row r="21">
          <cell r="A21" t="str">
            <v>0x2000016769DE</v>
          </cell>
          <cell r="B21" t="str">
            <v>ФункцСинхрон 2</v>
          </cell>
          <cell r="C21" t="str">
            <v>Выведено_x000D_
Введено</v>
          </cell>
          <cell r="D21" t="str">
            <v>Выведено*</v>
          </cell>
          <cell r="E21"/>
          <cell r="F21"/>
          <cell r="G21"/>
        </row>
        <row r="22">
          <cell r="A22" t="str">
            <v>0x2000016769DF</v>
          </cell>
          <cell r="B22" t="str">
            <v>ФункцСинхрон 3</v>
          </cell>
          <cell r="C22" t="str">
            <v>Выведено_x000D_
Введено</v>
          </cell>
          <cell r="D22" t="str">
            <v>Выведено*</v>
          </cell>
          <cell r="E22"/>
          <cell r="F22"/>
          <cell r="G22"/>
        </row>
        <row r="23">
          <cell r="A23" t="str">
            <v>0x2000016769E0</v>
          </cell>
          <cell r="B23" t="str">
            <v>ФункцСинхрон 4</v>
          </cell>
          <cell r="C23" t="str">
            <v>Выведено_x000D_
Введено</v>
          </cell>
          <cell r="D23" t="str">
            <v>Выведено*</v>
          </cell>
          <cell r="E23"/>
          <cell r="F23"/>
          <cell r="G23"/>
        </row>
        <row r="24">
          <cell r="A24" t="str">
            <v>0x2000016769E1</v>
          </cell>
          <cell r="B24" t="str">
            <v>ФункцСинхрон 5</v>
          </cell>
          <cell r="C24" t="str">
            <v>Выведено_x000D_
Введено</v>
          </cell>
          <cell r="D24" t="str">
            <v>Выведено*</v>
          </cell>
          <cell r="E24"/>
          <cell r="F24"/>
          <cell r="G24"/>
        </row>
        <row r="25">
          <cell r="A25" t="str">
            <v>0x2000016769E2</v>
          </cell>
          <cell r="B25" t="str">
            <v>ФункцСинхрон 6</v>
          </cell>
          <cell r="C25" t="str">
            <v>Выведено_x000D_
Введено</v>
          </cell>
          <cell r="D25" t="str">
            <v>Введено*</v>
          </cell>
          <cell r="E25"/>
          <cell r="F25"/>
          <cell r="G25"/>
        </row>
        <row r="26">
          <cell r="A26" t="str">
            <v>0x2000016769E3</v>
          </cell>
          <cell r="B26" t="str">
            <v>ФункцСинхрон 7</v>
          </cell>
          <cell r="C26" t="str">
            <v>Выведено_x000D_
Введено</v>
          </cell>
          <cell r="D26" t="str">
            <v>Введено*</v>
          </cell>
          <cell r="E26"/>
          <cell r="F26"/>
          <cell r="G26"/>
        </row>
        <row r="27">
          <cell r="A27" t="str">
            <v>0x2000016769E4</v>
          </cell>
          <cell r="B27" t="str">
            <v>ФункцСинхрон 8</v>
          </cell>
          <cell r="C27" t="str">
            <v>Выведено_x000D_
Введено</v>
          </cell>
          <cell r="D27" t="str">
            <v>Введено*</v>
          </cell>
          <cell r="E27"/>
          <cell r="F27"/>
          <cell r="G27"/>
        </row>
        <row r="28">
          <cell r="A28" t="str">
            <v>0110</v>
          </cell>
          <cell r="B28" t="str">
            <v>Режим Пускат</v>
          </cell>
          <cell r="C28" t="str">
            <v>только 3 фазный_x000D_
1-/3ф</v>
          </cell>
          <cell r="D28" t="str">
            <v>только 3 фазный</v>
          </cell>
          <cell r="E28"/>
          <cell r="F28"/>
          <cell r="G28"/>
        </row>
        <row r="29">
          <cell r="A29" t="str">
            <v>0133</v>
          </cell>
          <cell r="B29" t="str">
            <v>АПВ</v>
          </cell>
          <cell r="C29" t="str">
            <v>1 АПВ-цикл_x000D_
2 АПВ-цикла_x000D_
3 АПВ-цикла_x000D_
4 АПВ-цикла_x000D_
5 АПВ-циклов_x000D_
6 АПВ-циклов_x000D_
7 АПВ-циклов_x000D_
8 АПВ-циклов_x000D_
Адаптивная бестоковая Пауза (АБП)_x000D_
Выведено</v>
          </cell>
          <cell r="D29" t="str">
            <v>1 АПВ-цикл</v>
          </cell>
          <cell r="E29"/>
          <cell r="F29"/>
          <cell r="G29"/>
        </row>
        <row r="30">
          <cell r="A30" t="str">
            <v>0134</v>
          </cell>
          <cell r="B30" t="str">
            <v>АПВ режим упр</v>
          </cell>
          <cell r="C30" t="str">
            <v>с пуском и временем действия_x000D_
с пуском без времени действия_x000D_
с Отключением и временем действия_x000D_
с Отключением без времени действия</v>
          </cell>
          <cell r="D30" t="str">
            <v>с Отключением без времени действия</v>
          </cell>
          <cell r="E30"/>
          <cell r="F30"/>
          <cell r="G30"/>
        </row>
        <row r="31">
          <cell r="A31" t="str">
            <v>0139</v>
          </cell>
          <cell r="B31" t="str">
            <v>УРОВ</v>
          </cell>
          <cell r="C31" t="str">
            <v>Выведено_x000D_
Введено</v>
          </cell>
          <cell r="D31" t="str">
            <v>Введено</v>
          </cell>
          <cell r="E31"/>
          <cell r="F31"/>
          <cell r="G31"/>
        </row>
        <row r="32">
          <cell r="A32" t="str">
            <v>Данные энергосистемы 1</v>
          </cell>
          <cell r="B32"/>
          <cell r="C32"/>
          <cell r="D32"/>
          <cell r="E32"/>
          <cell r="F32"/>
          <cell r="G32"/>
        </row>
        <row r="33">
          <cell r="A33" t="str">
            <v>Параметры сети</v>
          </cell>
          <cell r="B33"/>
          <cell r="C33"/>
          <cell r="D33"/>
          <cell r="E33"/>
          <cell r="F33"/>
          <cell r="G33"/>
        </row>
        <row r="34">
          <cell r="A34" t="str">
            <v>Адрес</v>
          </cell>
          <cell r="B34" t="str">
            <v>Параметр</v>
          </cell>
          <cell r="C34" t="str">
            <v>Значение/диапазон/шаг</v>
          </cell>
          <cell r="D34" t="str">
            <v>Задаваемый параметр</v>
          </cell>
          <cell r="E34"/>
          <cell r="F34"/>
          <cell r="G34"/>
        </row>
        <row r="35">
          <cell r="A35"/>
          <cell r="B35"/>
          <cell r="C35"/>
          <cell r="D35"/>
          <cell r="E35"/>
          <cell r="F35"/>
          <cell r="G35"/>
        </row>
        <row r="36">
          <cell r="A36" t="str">
            <v>0203</v>
          </cell>
          <cell r="B36" t="str">
            <v>Uном Первич</v>
          </cell>
          <cell r="C36" t="str">
            <v>1.0 … 1200.0 кВ</v>
          </cell>
          <cell r="D36" t="str">
            <v>220 кВ</v>
          </cell>
          <cell r="E36"/>
          <cell r="F36"/>
          <cell r="G36"/>
        </row>
        <row r="37">
          <cell r="A37" t="str">
            <v>0204</v>
          </cell>
          <cell r="B37" t="str">
            <v>Uном Вторич</v>
          </cell>
          <cell r="C37" t="str">
            <v>80 … 125 В</v>
          </cell>
          <cell r="D37" t="str">
            <v>100 В</v>
          </cell>
          <cell r="E37"/>
          <cell r="F37"/>
          <cell r="G37"/>
        </row>
        <row r="38">
          <cell r="A38" t="str">
            <v>0205</v>
          </cell>
          <cell r="B38" t="str">
            <v>Iном первич ТТ</v>
          </cell>
          <cell r="C38" t="str">
            <v>10 … 5000 А</v>
          </cell>
          <cell r="D38" t="str">
            <v>1000 А</v>
          </cell>
          <cell r="E38"/>
          <cell r="F38"/>
          <cell r="G38"/>
        </row>
        <row r="39">
          <cell r="A39" t="str">
            <v>0206</v>
          </cell>
          <cell r="B39" t="str">
            <v>Iном вротич ТТ</v>
          </cell>
          <cell r="C39" t="str">
            <v>1А_x000D_
5А</v>
          </cell>
          <cell r="D39" t="str">
            <v>1А</v>
          </cell>
          <cell r="E39"/>
          <cell r="F39"/>
          <cell r="G39"/>
        </row>
        <row r="40">
          <cell r="A40" t="str">
            <v>0214</v>
          </cell>
          <cell r="B40" t="str">
            <v>Номин Частота</v>
          </cell>
          <cell r="C40" t="str">
            <v>50 Гц_x000D_
60 Гц</v>
          </cell>
          <cell r="D40" t="str">
            <v>50 Гц</v>
          </cell>
          <cell r="E40"/>
          <cell r="F40"/>
          <cell r="G40"/>
        </row>
        <row r="41">
          <cell r="A41" t="str">
            <v>Выключатель</v>
          </cell>
          <cell r="B41"/>
          <cell r="C41"/>
          <cell r="D41"/>
          <cell r="E41"/>
          <cell r="F41"/>
          <cell r="G41"/>
        </row>
        <row r="42">
          <cell r="A42" t="str">
            <v>Адрес</v>
          </cell>
          <cell r="B42" t="str">
            <v>Параметр</v>
          </cell>
          <cell r="C42" t="str">
            <v>Значение/диапазон/шаг</v>
          </cell>
          <cell r="D42" t="str">
            <v>Задаваемый параметр</v>
          </cell>
          <cell r="E42"/>
          <cell r="F42"/>
          <cell r="G42"/>
        </row>
        <row r="43">
          <cell r="A43"/>
          <cell r="B43"/>
          <cell r="C43"/>
          <cell r="D43"/>
          <cell r="E43"/>
          <cell r="F43"/>
          <cell r="G43"/>
        </row>
        <row r="44">
          <cell r="A44" t="str">
            <v>0240</v>
          </cell>
          <cell r="B44" t="str">
            <v>Тмин Ком Откл</v>
          </cell>
          <cell r="C44" t="str">
            <v>0.02 … 30.00 сек</v>
          </cell>
          <cell r="D44" t="str">
            <v>0.1 сек*</v>
          </cell>
          <cell r="E44"/>
          <cell r="F44"/>
          <cell r="G44"/>
        </row>
        <row r="45">
          <cell r="A45" t="str">
            <v>0241</v>
          </cell>
          <cell r="B45" t="str">
            <v>Тмакс Ком Вкл</v>
          </cell>
          <cell r="C45" t="str">
            <v>0.01 … 30.00 сек</v>
          </cell>
          <cell r="D45" t="str">
            <v>0.15 сек*</v>
          </cell>
          <cell r="E45"/>
          <cell r="F45"/>
          <cell r="G45"/>
        </row>
        <row r="46">
          <cell r="A46" t="str">
            <v>Регистрация аварийных режимов</v>
          </cell>
          <cell r="B46"/>
          <cell r="C46"/>
          <cell r="D46"/>
          <cell r="E46"/>
          <cell r="F46"/>
          <cell r="G46"/>
        </row>
        <row r="47">
          <cell r="A47" t="str">
            <v>Рег Авар Режим</v>
          </cell>
          <cell r="B47"/>
          <cell r="C47"/>
          <cell r="D47"/>
          <cell r="E47"/>
          <cell r="F47"/>
          <cell r="G47"/>
        </row>
        <row r="48">
          <cell r="A48" t="str">
            <v>Адрес</v>
          </cell>
          <cell r="B48" t="str">
            <v>Параметр</v>
          </cell>
          <cell r="C48" t="str">
            <v>Значение/диапазон/шаг</v>
          </cell>
          <cell r="D48" t="str">
            <v>Задаваемый параметр</v>
          </cell>
          <cell r="E48"/>
          <cell r="F48"/>
          <cell r="G48"/>
        </row>
        <row r="49">
          <cell r="A49"/>
          <cell r="B49"/>
          <cell r="C49"/>
          <cell r="D49"/>
          <cell r="E49"/>
          <cell r="F49"/>
          <cell r="G49"/>
        </row>
        <row r="50">
          <cell r="A50" t="str">
            <v>0901</v>
          </cell>
          <cell r="B50" t="str">
            <v>Запуск Регистр</v>
          </cell>
          <cell r="C50" t="str">
            <v>Сохранить при пуске_x000D_
Сохранить при отключении_x000D_
Пуск при отключении</v>
          </cell>
          <cell r="D50" t="str">
            <v>Сохранить при пуске</v>
          </cell>
          <cell r="E50"/>
          <cell r="F50"/>
          <cell r="G50"/>
        </row>
        <row r="51">
          <cell r="A51" t="str">
            <v>0902</v>
          </cell>
          <cell r="B51" t="str">
            <v>Объем Регистр</v>
          </cell>
          <cell r="C51" t="str">
            <v>Повреждение_x000D_
Повреждение в энергосистеме</v>
          </cell>
          <cell r="D51" t="str">
            <v>Повреждение в энергосистеме</v>
          </cell>
          <cell r="E51"/>
          <cell r="F51"/>
          <cell r="G51"/>
        </row>
        <row r="52">
          <cell r="A52" t="str">
            <v>0903</v>
          </cell>
          <cell r="B52" t="str">
            <v>Макс время Рег</v>
          </cell>
          <cell r="C52" t="str">
            <v>0.30 … 5.00 сек</v>
          </cell>
          <cell r="D52" t="str">
            <v>5.0 сек</v>
          </cell>
          <cell r="E52"/>
          <cell r="F52"/>
          <cell r="G52"/>
        </row>
        <row r="53">
          <cell r="A53" t="str">
            <v>0904</v>
          </cell>
          <cell r="B53" t="str">
            <v>Время до Нач</v>
          </cell>
          <cell r="C53" t="str">
            <v>0.05 … 0.50 сек</v>
          </cell>
          <cell r="D53" t="str">
            <v>0.5 сек</v>
          </cell>
          <cell r="E53"/>
          <cell r="F53"/>
          <cell r="G53"/>
        </row>
        <row r="54">
          <cell r="A54" t="str">
            <v>0905</v>
          </cell>
          <cell r="B54" t="str">
            <v>Врем после Повр</v>
          </cell>
          <cell r="C54" t="str">
            <v>0.05 … 0.50 сек</v>
          </cell>
          <cell r="D54" t="str">
            <v>0.5 сек</v>
          </cell>
          <cell r="E54"/>
          <cell r="F54"/>
          <cell r="G54"/>
        </row>
        <row r="55">
          <cell r="A55" t="str">
            <v>0906</v>
          </cell>
          <cell r="B55" t="str">
            <v>ВремяЗаписи ДВх</v>
          </cell>
          <cell r="C55" t="str">
            <v>0.10 … 5.00 сек; oo</v>
          </cell>
          <cell r="D55" t="str">
            <v>5.0 сек</v>
          </cell>
          <cell r="E55"/>
          <cell r="F55"/>
          <cell r="G55"/>
        </row>
        <row r="56">
          <cell r="A56" t="str">
            <v>Параметры энергосистемы 2</v>
          </cell>
          <cell r="B56"/>
          <cell r="C56"/>
          <cell r="D56"/>
          <cell r="E56"/>
          <cell r="F56"/>
          <cell r="G56"/>
        </row>
        <row r="57">
          <cell r="A57" t="str">
            <v>Адрес</v>
          </cell>
          <cell r="B57" t="str">
            <v>Параметр</v>
          </cell>
          <cell r="C57" t="str">
            <v>Значение/диапазон/шаг</v>
          </cell>
          <cell r="D57" t="str">
            <v>Задаваемый параметр</v>
          </cell>
          <cell r="E57"/>
          <cell r="F57"/>
          <cell r="G57"/>
        </row>
        <row r="58">
          <cell r="A58"/>
          <cell r="B58"/>
          <cell r="C58"/>
          <cell r="D58"/>
          <cell r="E58"/>
          <cell r="F58"/>
          <cell r="G58"/>
        </row>
        <row r="59">
          <cell r="A59" t="str">
            <v>1130A</v>
          </cell>
          <cell r="B59" t="str">
            <v>ТокРазомкФазы</v>
          </cell>
          <cell r="C59" t="str">
            <v>0.05 … 1.00 А</v>
          </cell>
          <cell r="D59" t="str">
            <v>0.05 А</v>
          </cell>
          <cell r="E59"/>
          <cell r="F59"/>
          <cell r="G59"/>
        </row>
        <row r="60">
          <cell r="A60" t="str">
            <v>1135</v>
          </cell>
          <cell r="B60" t="str">
            <v>Сброс Ком.Откл.</v>
          </cell>
          <cell r="C60" t="str">
            <v>Превыш порога I остаточного_x000D_
бл-конт ВЫКЛ и I&lt; остаточный</v>
          </cell>
          <cell r="D60" t="str">
            <v>Превыш порога I остаточного</v>
          </cell>
          <cell r="E60"/>
          <cell r="F60"/>
          <cell r="G60"/>
        </row>
        <row r="61">
          <cell r="A61" t="str">
            <v>1150A</v>
          </cell>
          <cell r="B61" t="str">
            <v>ДейсПослРучВкл</v>
          </cell>
          <cell r="C61" t="str">
            <v>0.01 … 30.00 сек</v>
          </cell>
          <cell r="D61" t="str">
            <v>0.6 сек*</v>
          </cell>
          <cell r="E61"/>
          <cell r="F61"/>
          <cell r="G61"/>
        </row>
        <row r="62">
          <cell r="A62" t="str">
            <v>Измерение U</v>
          </cell>
          <cell r="B62"/>
          <cell r="C62"/>
          <cell r="D62"/>
          <cell r="E62"/>
          <cell r="F62"/>
          <cell r="G62"/>
        </row>
        <row r="63">
          <cell r="A63" t="str">
            <v>Общее</v>
          </cell>
          <cell r="B63"/>
          <cell r="C63"/>
          <cell r="D63"/>
          <cell r="E63"/>
          <cell r="F63"/>
          <cell r="G63"/>
        </row>
        <row r="64">
          <cell r="A64" t="str">
            <v>Адрес</v>
          </cell>
          <cell r="B64" t="str">
            <v>Параметр</v>
          </cell>
          <cell r="C64" t="str">
            <v>Значение/диапазон/шаг</v>
          </cell>
          <cell r="D64" t="str">
            <v>Задаваемый параметр</v>
          </cell>
          <cell r="E64"/>
          <cell r="F64"/>
          <cell r="G64"/>
        </row>
        <row r="65">
          <cell r="A65"/>
          <cell r="B65"/>
          <cell r="C65"/>
          <cell r="D65"/>
          <cell r="E65"/>
          <cell r="F65"/>
          <cell r="G65"/>
        </row>
        <row r="66">
          <cell r="A66" t="str">
            <v>0x2000029E6978</v>
          </cell>
          <cell r="B66" t="str">
            <v>ТН ВторНапр</v>
          </cell>
          <cell r="C66" t="str">
            <v>0.00 … 200.00 В</v>
          </cell>
          <cell r="D66" t="str">
            <v>100 В*</v>
          </cell>
          <cell r="E66"/>
          <cell r="F66"/>
          <cell r="G66"/>
        </row>
        <row r="67">
          <cell r="A67" t="str">
            <v>Однофазное измерение, группа измерений 1</v>
          </cell>
          <cell r="B67"/>
          <cell r="C67"/>
          <cell r="D67"/>
          <cell r="E67"/>
          <cell r="F67"/>
          <cell r="G67"/>
        </row>
        <row r="68">
          <cell r="A68" t="str">
            <v>Общее</v>
          </cell>
          <cell r="B68"/>
          <cell r="C68"/>
          <cell r="D68"/>
          <cell r="E68"/>
          <cell r="F68"/>
          <cell r="G68"/>
        </row>
        <row r="69">
          <cell r="A69" t="str">
            <v>Адрес</v>
          </cell>
          <cell r="B69" t="str">
            <v>Параметр</v>
          </cell>
          <cell r="C69" t="str">
            <v>Значение/диапазон/шаг</v>
          </cell>
          <cell r="D69" t="str">
            <v>Задаваемый параметр</v>
          </cell>
          <cell r="E69"/>
          <cell r="F69"/>
          <cell r="G69"/>
        </row>
        <row r="70">
          <cell r="A70"/>
          <cell r="B70"/>
          <cell r="C70"/>
          <cell r="D70"/>
          <cell r="E70"/>
          <cell r="F70"/>
          <cell r="G70"/>
        </row>
        <row r="71">
          <cell r="A71" t="str">
            <v>0x2000029F6978</v>
          </cell>
          <cell r="B71" t="str">
            <v>ТН ВторНапр</v>
          </cell>
          <cell r="C71" t="str">
            <v>0.00 … 200.00 В</v>
          </cell>
          <cell r="D71" t="str">
            <v>100 В*</v>
          </cell>
          <cell r="E71"/>
          <cell r="F71"/>
          <cell r="G71"/>
        </row>
        <row r="72">
          <cell r="A72" t="str">
            <v>0x2000029F6979</v>
          </cell>
          <cell r="B72" t="str">
            <v>ТТ ЗначВторТока</v>
          </cell>
          <cell r="C72" t="str">
            <v>0.00 … 5.00 А</v>
          </cell>
          <cell r="D72" t="str">
            <v>1 А*</v>
          </cell>
          <cell r="E72"/>
          <cell r="F72"/>
          <cell r="G72"/>
        </row>
        <row r="73">
          <cell r="A73" t="str">
            <v>Трехфазное измерение, группа измерений 1</v>
          </cell>
          <cell r="B73"/>
          <cell r="C73"/>
          <cell r="D73"/>
          <cell r="E73"/>
          <cell r="F73"/>
          <cell r="G73"/>
        </row>
        <row r="74">
          <cell r="A74" t="str">
            <v>Общее</v>
          </cell>
          <cell r="B74"/>
          <cell r="C74"/>
          <cell r="D74"/>
          <cell r="E74"/>
          <cell r="F74"/>
          <cell r="G74"/>
        </row>
        <row r="75">
          <cell r="A75" t="str">
            <v>Адрес</v>
          </cell>
          <cell r="B75" t="str">
            <v>Параметр</v>
          </cell>
          <cell r="C75" t="str">
            <v>Значение/диапазон/шаг</v>
          </cell>
          <cell r="D75" t="str">
            <v>Задаваемый параметр</v>
          </cell>
          <cell r="E75"/>
          <cell r="F75"/>
          <cell r="G75"/>
        </row>
        <row r="76">
          <cell r="A76"/>
          <cell r="B76"/>
          <cell r="C76"/>
          <cell r="D76"/>
          <cell r="E76"/>
          <cell r="F76"/>
          <cell r="G76"/>
        </row>
        <row r="77">
          <cell r="A77" t="str">
            <v>0x200002A26978</v>
          </cell>
          <cell r="B77" t="str">
            <v>ТН ВторНапр</v>
          </cell>
          <cell r="C77" t="str">
            <v>0.00 … 200.00 В</v>
          </cell>
          <cell r="D77" t="str">
            <v>100 В*</v>
          </cell>
          <cell r="E77"/>
          <cell r="F77"/>
          <cell r="G77"/>
        </row>
        <row r="78">
          <cell r="A78" t="str">
            <v>0x200002A26979</v>
          </cell>
          <cell r="B78" t="str">
            <v>ТТ ЗначВторТока</v>
          </cell>
          <cell r="C78" t="str">
            <v>0.00 … 5.00 А</v>
          </cell>
          <cell r="D78" t="str">
            <v>1 А*</v>
          </cell>
          <cell r="E78"/>
          <cell r="F78"/>
          <cell r="G78"/>
        </row>
        <row r="79">
          <cell r="A79" t="str">
            <v>СИНХР. Группа функций 6</v>
          </cell>
          <cell r="B79"/>
          <cell r="C79"/>
          <cell r="D79"/>
          <cell r="E79"/>
          <cell r="F79"/>
          <cell r="G79"/>
        </row>
        <row r="80">
          <cell r="A80" t="str">
            <v>Параметры ЭС</v>
          </cell>
          <cell r="B80"/>
          <cell r="C80"/>
          <cell r="D80"/>
          <cell r="E80"/>
          <cell r="F80"/>
          <cell r="G80"/>
        </row>
        <row r="81">
          <cell r="A81" t="str">
            <v>Адрес</v>
          </cell>
          <cell r="B81" t="str">
            <v>Параметр</v>
          </cell>
          <cell r="C81" t="str">
            <v>Значение/диапазон/шаг</v>
          </cell>
          <cell r="D81" t="str">
            <v>Задаваемый параметр</v>
          </cell>
          <cell r="E81"/>
          <cell r="F81"/>
          <cell r="G81"/>
        </row>
        <row r="82">
          <cell r="A82" t="str">
            <v>0x2000041064A3</v>
          </cell>
          <cell r="B82" t="str">
            <v>ВЫКЛ Собст Врем</v>
          </cell>
          <cell r="C82" t="str">
            <v>0.01 … 0.60 сек</v>
          </cell>
          <cell r="D82" t="str">
            <v>0.06 сек*</v>
          </cell>
          <cell r="E82"/>
          <cell r="F82"/>
          <cell r="G82"/>
        </row>
        <row r="83">
          <cell r="A83" t="str">
            <v>0x200004106982</v>
          </cell>
          <cell r="B83" t="str">
            <v>КоэффБал U1/U2</v>
          </cell>
          <cell r="C83" t="str">
            <v xml:space="preserve">0.80 … 1.20 </v>
          </cell>
          <cell r="D83" t="str">
            <v>1*</v>
          </cell>
          <cell r="E83"/>
          <cell r="F83"/>
          <cell r="G83"/>
        </row>
        <row r="84">
          <cell r="A84" t="str">
            <v>0x200004106983</v>
          </cell>
          <cell r="B84" t="str">
            <v>Угол U1-U2</v>
          </cell>
          <cell r="C84" t="str">
            <v>0 … 360 °</v>
          </cell>
          <cell r="D84" t="str">
            <v>330 °*</v>
          </cell>
          <cell r="E84"/>
          <cell r="F84"/>
          <cell r="G84"/>
        </row>
        <row r="85">
          <cell r="A85" t="str">
            <v>0x200004106984</v>
          </cell>
          <cell r="B85" t="str">
            <v>ТН1 ВторНапр</v>
          </cell>
          <cell r="C85" t="str">
            <v>0.00 … 170.00 В</v>
          </cell>
          <cell r="D85" t="str">
            <v>100 В*</v>
          </cell>
          <cell r="E85"/>
          <cell r="F85"/>
          <cell r="G85"/>
        </row>
        <row r="86">
          <cell r="A86" t="str">
            <v>0x200004106985</v>
          </cell>
          <cell r="B86" t="str">
            <v>ТН2 ВторНапр</v>
          </cell>
          <cell r="C86" t="str">
            <v>0.00 … 170.00 В</v>
          </cell>
          <cell r="D86" t="str">
            <v>100 В*</v>
          </cell>
          <cell r="E86"/>
          <cell r="F86"/>
          <cell r="G86"/>
        </row>
        <row r="87">
          <cell r="A87" t="str">
            <v>Общее</v>
          </cell>
          <cell r="B87"/>
          <cell r="C87"/>
          <cell r="D87"/>
          <cell r="E87"/>
          <cell r="F87"/>
          <cell r="G87"/>
        </row>
        <row r="88">
          <cell r="A88" t="str">
            <v>Адрес</v>
          </cell>
          <cell r="B88" t="str">
            <v>Параметр</v>
          </cell>
          <cell r="C88" t="str">
            <v>Значение/диапазон/шаг</v>
          </cell>
          <cell r="D88" t="str">
            <v>Задаваемый параметр</v>
          </cell>
          <cell r="E88"/>
          <cell r="F88"/>
          <cell r="G88"/>
        </row>
        <row r="89">
          <cell r="A89"/>
          <cell r="B89"/>
          <cell r="C89"/>
          <cell r="D89"/>
          <cell r="E89"/>
          <cell r="F89"/>
          <cell r="G89"/>
        </row>
        <row r="90">
          <cell r="A90"/>
          <cell r="B90" t="str">
            <v>Синхронизируемый коммутационный аппарат</v>
          </cell>
          <cell r="C90"/>
          <cell r="D90" t="str">
            <v>-*</v>
          </cell>
          <cell r="E90"/>
          <cell r="F90"/>
          <cell r="G90"/>
        </row>
        <row r="91">
          <cell r="A91" t="str">
            <v>0x200004106986</v>
          </cell>
          <cell r="B91" t="str">
            <v>Uмин</v>
          </cell>
          <cell r="C91" t="str">
            <v>20 … 125 В</v>
          </cell>
          <cell r="D91" t="str">
            <v>60 В*</v>
          </cell>
          <cell r="E91"/>
          <cell r="F91"/>
          <cell r="G91"/>
        </row>
        <row r="92">
          <cell r="A92" t="str">
            <v>0x200004106987</v>
          </cell>
          <cell r="B92" t="str">
            <v>Uмакс</v>
          </cell>
          <cell r="C92" t="str">
            <v>20 … 140 В</v>
          </cell>
          <cell r="D92" t="str">
            <v>120 В*</v>
          </cell>
          <cell r="E92"/>
          <cell r="F92"/>
          <cell r="G92"/>
        </row>
        <row r="93">
          <cell r="A93" t="str">
            <v>0x200004106988</v>
          </cell>
          <cell r="B93" t="str">
            <v>Uобест</v>
          </cell>
          <cell r="C93" t="str">
            <v>1 … 60 В</v>
          </cell>
          <cell r="D93" t="str">
            <v>50 В*</v>
          </cell>
          <cell r="E93"/>
          <cell r="F93"/>
          <cell r="G93"/>
        </row>
        <row r="94">
          <cell r="A94" t="str">
            <v>0x200004106989</v>
          </cell>
          <cell r="B94" t="str">
            <v>Синхр.U1&gt;U2&lt;</v>
          </cell>
          <cell r="C94" t="str">
            <v>ДА_x000D_
НЕТ</v>
          </cell>
          <cell r="D94" t="str">
            <v>НЕТ*</v>
          </cell>
          <cell r="E94"/>
          <cell r="F94"/>
          <cell r="G94"/>
        </row>
        <row r="95">
          <cell r="A95" t="str">
            <v>0x20000410698A</v>
          </cell>
          <cell r="B95" t="str">
            <v>Синхр.U1&lt;U2&gt;</v>
          </cell>
          <cell r="C95" t="str">
            <v>ДА_x000D_
НЕТ</v>
          </cell>
          <cell r="D95" t="str">
            <v>НЕТ*</v>
          </cell>
          <cell r="E95"/>
          <cell r="F95"/>
          <cell r="G95"/>
        </row>
        <row r="96">
          <cell r="A96" t="str">
            <v>0x20000410698B</v>
          </cell>
          <cell r="B96" t="str">
            <v>Синхр.U1&lt;U2&lt;</v>
          </cell>
          <cell r="C96" t="str">
            <v>ДА_x000D_
НЕТ</v>
          </cell>
          <cell r="D96" t="str">
            <v>НЕТ*</v>
          </cell>
          <cell r="E96"/>
          <cell r="F96"/>
          <cell r="G96"/>
        </row>
        <row r="97">
          <cell r="A97" t="str">
            <v>0x2000041064A7</v>
          </cell>
          <cell r="B97" t="str">
            <v>Т синхр длит</v>
          </cell>
          <cell r="C97" t="str">
            <v>1.00 … 600.00 сек</v>
          </cell>
          <cell r="D97" t="str">
            <v>60 сек*</v>
          </cell>
          <cell r="E97"/>
          <cell r="F97"/>
          <cell r="G97"/>
        </row>
        <row r="98">
          <cell r="A98" t="str">
            <v>0x2000041064B1</v>
          </cell>
          <cell r="B98" t="str">
            <v>fмин</v>
          </cell>
          <cell r="C98" t="str">
            <v>95 … 105 %</v>
          </cell>
          <cell r="D98" t="str">
            <v>97 %*</v>
          </cell>
          <cell r="E98"/>
          <cell r="F98"/>
          <cell r="G98"/>
        </row>
        <row r="99">
          <cell r="A99" t="str">
            <v>0x2000041064B2</v>
          </cell>
          <cell r="B99" t="str">
            <v>fмакс</v>
          </cell>
          <cell r="C99" t="str">
            <v>95 … 105 %</v>
          </cell>
          <cell r="D99" t="str">
            <v>101 %*</v>
          </cell>
          <cell r="E99"/>
          <cell r="F99"/>
          <cell r="G99"/>
        </row>
        <row r="100">
          <cell r="A100" t="str">
            <v>АсинхрУсловия</v>
          </cell>
          <cell r="B100"/>
          <cell r="C100"/>
          <cell r="D100"/>
          <cell r="E100"/>
          <cell r="F100"/>
          <cell r="G100"/>
        </row>
        <row r="101">
          <cell r="A101" t="str">
            <v>Адрес</v>
          </cell>
          <cell r="B101" t="str">
            <v>Параметр</v>
          </cell>
          <cell r="C101" t="str">
            <v>Значение/диапазон/шаг</v>
          </cell>
          <cell r="D101" t="str">
            <v>Задаваемый параметр</v>
          </cell>
          <cell r="E101"/>
          <cell r="F101"/>
          <cell r="G101"/>
        </row>
        <row r="102">
          <cell r="A102"/>
          <cell r="B102"/>
          <cell r="C102"/>
          <cell r="D102"/>
          <cell r="E102"/>
          <cell r="F102"/>
          <cell r="G102"/>
        </row>
        <row r="103">
          <cell r="A103" t="str">
            <v>0x200004106990</v>
          </cell>
          <cell r="B103" t="str">
            <v>РазнU АсинхрВкл</v>
          </cell>
          <cell r="C103" t="str">
            <v>0.5 … 40.0 В</v>
          </cell>
          <cell r="D103" t="str">
            <v>22.7 В*</v>
          </cell>
          <cell r="E103"/>
          <cell r="F103"/>
          <cell r="G103"/>
        </row>
        <row r="104">
          <cell r="A104" t="str">
            <v>0x20000410698D</v>
          </cell>
          <cell r="B104" t="str">
            <v>Разн f СинхрВкл</v>
          </cell>
          <cell r="C104" t="str">
            <v>0.01 … 2.00 Гц</v>
          </cell>
          <cell r="D104" t="str">
            <v>0.4 Гц*</v>
          </cell>
          <cell r="E104"/>
          <cell r="F104"/>
          <cell r="G104"/>
        </row>
        <row r="105">
          <cell r="A105" t="str">
            <v>СинхрУсловия</v>
          </cell>
          <cell r="B105"/>
          <cell r="C105"/>
          <cell r="D105"/>
          <cell r="E105"/>
          <cell r="F105"/>
          <cell r="G105"/>
        </row>
        <row r="106">
          <cell r="A106" t="str">
            <v>Адрес</v>
          </cell>
          <cell r="B106" t="str">
            <v>Параметр</v>
          </cell>
          <cell r="C106" t="str">
            <v>Значение/диапазон/шаг</v>
          </cell>
          <cell r="D106" t="str">
            <v>Задаваемый параметр</v>
          </cell>
          <cell r="E106"/>
          <cell r="F106"/>
          <cell r="G106"/>
        </row>
        <row r="107">
          <cell r="A107"/>
          <cell r="B107"/>
          <cell r="C107"/>
          <cell r="D107"/>
          <cell r="E107"/>
          <cell r="F107"/>
          <cell r="G107"/>
        </row>
        <row r="108">
          <cell r="A108" t="str">
            <v>0x20000410698F</v>
          </cell>
          <cell r="B108" t="str">
            <v>f синхрон</v>
          </cell>
          <cell r="C108" t="str">
            <v>10 … 40 мГц</v>
          </cell>
          <cell r="D108" t="str">
            <v>40 мГц*</v>
          </cell>
          <cell r="E108"/>
          <cell r="F108"/>
          <cell r="G108"/>
        </row>
        <row r="109">
          <cell r="A109" t="str">
            <v>0x20000410698C</v>
          </cell>
          <cell r="B109" t="str">
            <v>РазнU СинхрВкл</v>
          </cell>
          <cell r="C109" t="str">
            <v>0.5 … 40.0 В</v>
          </cell>
          <cell r="D109" t="str">
            <v>22.7 В*</v>
          </cell>
          <cell r="E109"/>
          <cell r="F109"/>
          <cell r="G109"/>
        </row>
        <row r="110">
          <cell r="A110" t="str">
            <v>0x20000410698E</v>
          </cell>
          <cell r="B110" t="str">
            <v>Разн φ СинхрВкл</v>
          </cell>
          <cell r="C110" t="str">
            <v>2 … 90 °</v>
          </cell>
          <cell r="D110" t="str">
            <v>40 °*</v>
          </cell>
          <cell r="E110"/>
          <cell r="F110"/>
          <cell r="G110"/>
        </row>
        <row r="111">
          <cell r="A111" t="str">
            <v>0x200004106991</v>
          </cell>
          <cell r="B111" t="str">
            <v>Т синхрон</v>
          </cell>
          <cell r="C111" t="str">
            <v>0.00 … 60.00 сек</v>
          </cell>
          <cell r="D111" t="str">
            <v>0.3 сек*</v>
          </cell>
          <cell r="E111"/>
          <cell r="F111"/>
          <cell r="G111"/>
        </row>
        <row r="112">
          <cell r="A112" t="str">
            <v>СИНХР. Группа функций 7</v>
          </cell>
          <cell r="B112"/>
          <cell r="C112"/>
          <cell r="D112"/>
          <cell r="E112"/>
          <cell r="F112"/>
          <cell r="G112"/>
        </row>
        <row r="113">
          <cell r="A113" t="str">
            <v>Параметры ЭС</v>
          </cell>
          <cell r="B113"/>
          <cell r="C113"/>
          <cell r="D113"/>
          <cell r="E113"/>
          <cell r="F113"/>
          <cell r="G113"/>
        </row>
        <row r="114">
          <cell r="A114" t="str">
            <v>Адрес</v>
          </cell>
          <cell r="B114" t="str">
            <v>Параметр</v>
          </cell>
          <cell r="C114" t="str">
            <v>Значение/диапазон/шаг</v>
          </cell>
          <cell r="D114" t="str">
            <v>Задаваемый параметр</v>
          </cell>
          <cell r="E114"/>
          <cell r="F114"/>
          <cell r="G114"/>
        </row>
        <row r="115">
          <cell r="A115"/>
          <cell r="B115"/>
          <cell r="C115"/>
          <cell r="D115"/>
          <cell r="E115"/>
          <cell r="F115"/>
          <cell r="G115"/>
        </row>
        <row r="116">
          <cell r="A116" t="str">
            <v>0x2000041164A3</v>
          </cell>
          <cell r="B116" t="str">
            <v>ВЫКЛ Собст Врем</v>
          </cell>
          <cell r="C116" t="str">
            <v>0.01 … 0.60 сек</v>
          </cell>
          <cell r="D116" t="str">
            <v>0.06 сек*</v>
          </cell>
          <cell r="E116"/>
          <cell r="F116"/>
          <cell r="G116"/>
        </row>
        <row r="117">
          <cell r="A117" t="str">
            <v>0x200004116982</v>
          </cell>
          <cell r="B117" t="str">
            <v>КоэффБал U1/U2</v>
          </cell>
          <cell r="C117" t="str">
            <v xml:space="preserve">0.80 … 1.20 </v>
          </cell>
          <cell r="D117" t="str">
            <v>1*</v>
          </cell>
          <cell r="E117"/>
          <cell r="F117"/>
          <cell r="G117"/>
        </row>
        <row r="118">
          <cell r="A118" t="str">
            <v>0x200004116983</v>
          </cell>
          <cell r="B118" t="str">
            <v>Угол U1-U2</v>
          </cell>
          <cell r="C118" t="str">
            <v>0 … 360 °</v>
          </cell>
          <cell r="D118" t="str">
            <v>330 °*</v>
          </cell>
          <cell r="E118"/>
          <cell r="F118"/>
          <cell r="G118"/>
        </row>
        <row r="119">
          <cell r="A119" t="str">
            <v>0x200004116984</v>
          </cell>
          <cell r="B119" t="str">
            <v>ТН1 ВторНапр</v>
          </cell>
          <cell r="C119" t="str">
            <v>0.00 … 170.00 В</v>
          </cell>
          <cell r="D119" t="str">
            <v>100 В*</v>
          </cell>
          <cell r="E119"/>
          <cell r="F119"/>
          <cell r="G119"/>
        </row>
        <row r="120">
          <cell r="A120" t="str">
            <v>0x200004116985</v>
          </cell>
          <cell r="B120" t="str">
            <v>ТН2 ВторНапр</v>
          </cell>
          <cell r="C120" t="str">
            <v>0.00 … 170.00 В</v>
          </cell>
          <cell r="D120" t="str">
            <v>100 В*</v>
          </cell>
          <cell r="E120"/>
          <cell r="F120"/>
          <cell r="G120"/>
        </row>
        <row r="121">
          <cell r="A121" t="str">
            <v>Общее</v>
          </cell>
          <cell r="B121"/>
          <cell r="C121"/>
          <cell r="D121"/>
          <cell r="E121"/>
          <cell r="F121"/>
          <cell r="G121"/>
        </row>
        <row r="122">
          <cell r="A122" t="str">
            <v>Адрес</v>
          </cell>
          <cell r="B122" t="str">
            <v>Параметр</v>
          </cell>
          <cell r="C122" t="str">
            <v>Значение/диапазон/шаг</v>
          </cell>
          <cell r="D122" t="str">
            <v>Задаваемый параметр</v>
          </cell>
          <cell r="E122"/>
          <cell r="F122"/>
          <cell r="G122"/>
        </row>
        <row r="123">
          <cell r="A123"/>
          <cell r="B123"/>
          <cell r="C123"/>
          <cell r="D123"/>
          <cell r="E123"/>
          <cell r="F123"/>
          <cell r="G123"/>
        </row>
        <row r="124">
          <cell r="A124"/>
          <cell r="B124" t="str">
            <v>Синхронизируемый коммутационный аппарат</v>
          </cell>
          <cell r="C124"/>
          <cell r="D124" t="str">
            <v>-*</v>
          </cell>
          <cell r="E124"/>
          <cell r="F124"/>
          <cell r="G124"/>
        </row>
        <row r="125">
          <cell r="A125" t="str">
            <v>0x200004116986</v>
          </cell>
          <cell r="B125" t="str">
            <v>Uмин</v>
          </cell>
          <cell r="C125" t="str">
            <v>20 … 125 В</v>
          </cell>
          <cell r="D125" t="str">
            <v>60 В</v>
          </cell>
          <cell r="E125"/>
          <cell r="F125"/>
          <cell r="G125"/>
        </row>
        <row r="126">
          <cell r="A126" t="str">
            <v>0x200004116987</v>
          </cell>
          <cell r="B126" t="str">
            <v>Uмакс</v>
          </cell>
          <cell r="C126" t="str">
            <v>20 … 140 В</v>
          </cell>
          <cell r="D126" t="str">
            <v>120 В</v>
          </cell>
          <cell r="E126"/>
          <cell r="F126"/>
          <cell r="G126"/>
        </row>
        <row r="127">
          <cell r="A127" t="str">
            <v>0x200004116988</v>
          </cell>
          <cell r="B127" t="str">
            <v>Uобест</v>
          </cell>
          <cell r="C127" t="str">
            <v>1 … 60 В</v>
          </cell>
          <cell r="D127" t="str">
            <v>50 В</v>
          </cell>
          <cell r="E127"/>
          <cell r="F127"/>
          <cell r="G127"/>
        </row>
        <row r="128">
          <cell r="A128" t="str">
            <v>0x200004116989</v>
          </cell>
          <cell r="B128" t="str">
            <v>Синхр.U1&gt;U2&lt;</v>
          </cell>
          <cell r="C128" t="str">
            <v>ДА_x000D_
НЕТ</v>
          </cell>
          <cell r="D128" t="str">
            <v>НЕТ</v>
          </cell>
          <cell r="E128"/>
          <cell r="F128"/>
          <cell r="G128"/>
        </row>
        <row r="129">
          <cell r="A129" t="str">
            <v>0x20000411698A</v>
          </cell>
          <cell r="B129" t="str">
            <v>Синхр.U1&lt;U2&gt;</v>
          </cell>
          <cell r="C129" t="str">
            <v>ДА_x000D_
НЕТ</v>
          </cell>
          <cell r="D129" t="str">
            <v>НЕТ</v>
          </cell>
          <cell r="E129"/>
          <cell r="F129"/>
          <cell r="G129"/>
        </row>
        <row r="130">
          <cell r="A130" t="str">
            <v>0x20000411698B</v>
          </cell>
          <cell r="B130" t="str">
            <v>Синхр.U1&lt;U2&lt;</v>
          </cell>
          <cell r="C130" t="str">
            <v>ДА_x000D_
НЕТ</v>
          </cell>
          <cell r="D130" t="str">
            <v>НЕТ</v>
          </cell>
          <cell r="E130"/>
          <cell r="F130"/>
          <cell r="G130"/>
        </row>
        <row r="131">
          <cell r="A131" t="str">
            <v>0x2000041164A7</v>
          </cell>
          <cell r="B131" t="str">
            <v>Т синхр длит</v>
          </cell>
          <cell r="C131" t="str">
            <v>1.00 … 600.00 сек</v>
          </cell>
          <cell r="D131" t="str">
            <v>60 сек</v>
          </cell>
          <cell r="E131"/>
          <cell r="F131"/>
          <cell r="G131"/>
        </row>
        <row r="132">
          <cell r="A132" t="str">
            <v>0x2000041164B1</v>
          </cell>
          <cell r="B132" t="str">
            <v>fмин</v>
          </cell>
          <cell r="C132" t="str">
            <v>95 … 105 %</v>
          </cell>
          <cell r="D132" t="str">
            <v>97 %</v>
          </cell>
          <cell r="E132"/>
          <cell r="F132"/>
          <cell r="G132"/>
        </row>
        <row r="133">
          <cell r="A133" t="str">
            <v>0x2000041164B2</v>
          </cell>
          <cell r="B133" t="str">
            <v>fмакс</v>
          </cell>
          <cell r="C133" t="str">
            <v>95 … 105 %</v>
          </cell>
          <cell r="D133" t="str">
            <v>101 %</v>
          </cell>
          <cell r="E133"/>
          <cell r="F133"/>
          <cell r="G133"/>
        </row>
        <row r="134">
          <cell r="A134" t="str">
            <v>АсинхрУсловия</v>
          </cell>
          <cell r="B134"/>
          <cell r="C134"/>
          <cell r="D134"/>
          <cell r="E134"/>
          <cell r="F134"/>
          <cell r="G134"/>
        </row>
        <row r="135">
          <cell r="A135" t="str">
            <v>Адрес</v>
          </cell>
          <cell r="B135" t="str">
            <v>Параметр</v>
          </cell>
          <cell r="C135" t="str">
            <v>Значение/диапазон/шаг</v>
          </cell>
          <cell r="D135" t="str">
            <v>Задаваемый параметр</v>
          </cell>
          <cell r="E135"/>
          <cell r="F135"/>
          <cell r="G135"/>
        </row>
        <row r="136">
          <cell r="A136"/>
          <cell r="B136"/>
          <cell r="C136"/>
          <cell r="D136"/>
          <cell r="E136"/>
          <cell r="F136"/>
          <cell r="G136"/>
        </row>
        <row r="137">
          <cell r="A137" t="str">
            <v>0x200004116990</v>
          </cell>
          <cell r="B137" t="str">
            <v>РазнU АсинхрВкл</v>
          </cell>
          <cell r="C137" t="str">
            <v>0.5 … 40.0 В</v>
          </cell>
          <cell r="D137" t="str">
            <v>22.7 В</v>
          </cell>
          <cell r="E137"/>
          <cell r="F137"/>
          <cell r="G137"/>
        </row>
        <row r="138">
          <cell r="A138" t="str">
            <v>0x20000411698D</v>
          </cell>
          <cell r="B138" t="str">
            <v>Разн f СинхрВкл</v>
          </cell>
          <cell r="C138" t="str">
            <v>0.01 … 2.00 Гц</v>
          </cell>
          <cell r="D138" t="str">
            <v>0.4 Гц</v>
          </cell>
          <cell r="E138"/>
          <cell r="F138"/>
          <cell r="G138"/>
        </row>
        <row r="139">
          <cell r="A139" t="str">
            <v>СинхрУсловия</v>
          </cell>
          <cell r="B139"/>
          <cell r="C139"/>
          <cell r="D139"/>
          <cell r="E139"/>
          <cell r="F139"/>
          <cell r="G139"/>
        </row>
        <row r="140">
          <cell r="A140" t="str">
            <v>Адрес</v>
          </cell>
          <cell r="B140" t="str">
            <v>Параметр</v>
          </cell>
          <cell r="C140" t="str">
            <v>Значение/диапазон/шаг</v>
          </cell>
          <cell r="D140" t="str">
            <v>Задаваемый параметр</v>
          </cell>
          <cell r="E140"/>
          <cell r="F140"/>
          <cell r="G140"/>
        </row>
        <row r="141">
          <cell r="A141"/>
          <cell r="B141"/>
          <cell r="C141"/>
          <cell r="D141"/>
          <cell r="E141"/>
          <cell r="F141"/>
          <cell r="G141"/>
        </row>
        <row r="142">
          <cell r="A142" t="str">
            <v>0x20000411698F</v>
          </cell>
          <cell r="B142" t="str">
            <v>f синхрон</v>
          </cell>
          <cell r="C142" t="str">
            <v>10 … 40 мГц</v>
          </cell>
          <cell r="D142" t="str">
            <v>40 мГц</v>
          </cell>
          <cell r="E142"/>
          <cell r="F142"/>
          <cell r="G142"/>
        </row>
        <row r="143">
          <cell r="A143" t="str">
            <v>0x20000411698C</v>
          </cell>
          <cell r="B143" t="str">
            <v>РазнU СинхрВкл</v>
          </cell>
          <cell r="C143" t="str">
            <v>0.5 … 40.0 В</v>
          </cell>
          <cell r="D143" t="str">
            <v>22.7 В</v>
          </cell>
          <cell r="E143"/>
          <cell r="F143"/>
          <cell r="G143"/>
        </row>
        <row r="144">
          <cell r="A144" t="str">
            <v>0x20000411698E</v>
          </cell>
          <cell r="B144" t="str">
            <v>Разн φ СинхрВкл</v>
          </cell>
          <cell r="C144" t="str">
            <v>2 … 90 °</v>
          </cell>
          <cell r="D144" t="str">
            <v>40 °</v>
          </cell>
          <cell r="E144"/>
          <cell r="F144"/>
          <cell r="G144"/>
        </row>
        <row r="145">
          <cell r="A145" t="str">
            <v>0x200004116991</v>
          </cell>
          <cell r="B145" t="str">
            <v>Т синхрон</v>
          </cell>
          <cell r="C145" t="str">
            <v>0.00 … 60.00 сек</v>
          </cell>
          <cell r="D145" t="str">
            <v>0.3 сек</v>
          </cell>
          <cell r="E145"/>
          <cell r="F145"/>
          <cell r="G145"/>
        </row>
        <row r="146">
          <cell r="A146" t="str">
            <v>СИНХР. Группа функций 8</v>
          </cell>
          <cell r="B146"/>
          <cell r="C146"/>
          <cell r="D146"/>
          <cell r="E146"/>
          <cell r="F146"/>
          <cell r="G146"/>
        </row>
        <row r="147">
          <cell r="A147" t="str">
            <v>Параметры ЭС</v>
          </cell>
          <cell r="B147"/>
          <cell r="C147"/>
          <cell r="D147"/>
          <cell r="E147"/>
          <cell r="F147"/>
          <cell r="G147"/>
        </row>
        <row r="148">
          <cell r="A148" t="str">
            <v>Адрес</v>
          </cell>
          <cell r="B148" t="str">
            <v>Параметр</v>
          </cell>
          <cell r="C148" t="str">
            <v>Значение/диапазон/шаг</v>
          </cell>
          <cell r="D148" t="str">
            <v>Задаваемый параметр</v>
          </cell>
          <cell r="E148"/>
          <cell r="F148"/>
          <cell r="G148"/>
        </row>
        <row r="149">
          <cell r="A149"/>
          <cell r="B149"/>
          <cell r="C149"/>
          <cell r="D149"/>
          <cell r="E149"/>
          <cell r="F149"/>
          <cell r="G149"/>
        </row>
        <row r="150">
          <cell r="A150" t="str">
            <v>0x2000041264A3</v>
          </cell>
          <cell r="B150" t="str">
            <v>ВЫКЛ Собст Врем</v>
          </cell>
          <cell r="C150" t="str">
            <v>0.01 … 0.60 сек</v>
          </cell>
          <cell r="D150" t="str">
            <v>0.06 сек*</v>
          </cell>
          <cell r="E150"/>
          <cell r="F150"/>
          <cell r="G150"/>
        </row>
        <row r="151">
          <cell r="A151" t="str">
            <v>0x200004126982</v>
          </cell>
          <cell r="B151" t="str">
            <v>КоэффБал U1/U2</v>
          </cell>
          <cell r="C151" t="str">
            <v xml:space="preserve">0.80 … 1.20 </v>
          </cell>
          <cell r="D151" t="str">
            <v>1*</v>
          </cell>
          <cell r="E151"/>
          <cell r="F151"/>
          <cell r="G151"/>
        </row>
        <row r="152">
          <cell r="A152" t="str">
            <v>0x200004126983</v>
          </cell>
          <cell r="B152" t="str">
            <v>Угол U1-U2</v>
          </cell>
          <cell r="C152" t="str">
            <v>0 … 360 °</v>
          </cell>
          <cell r="D152" t="str">
            <v>330 °*</v>
          </cell>
          <cell r="E152"/>
          <cell r="F152"/>
          <cell r="G152"/>
        </row>
        <row r="153">
          <cell r="A153" t="str">
            <v>0x200004126984</v>
          </cell>
          <cell r="B153" t="str">
            <v>ТН1 ВторНапр</v>
          </cell>
          <cell r="C153" t="str">
            <v>0.00 … 170.00 В</v>
          </cell>
          <cell r="D153" t="str">
            <v>100 В*</v>
          </cell>
          <cell r="E153"/>
          <cell r="F153"/>
          <cell r="G153"/>
        </row>
        <row r="154">
          <cell r="A154" t="str">
            <v>0x200004126985</v>
          </cell>
          <cell r="B154" t="str">
            <v>ТН2 ВторНапр</v>
          </cell>
          <cell r="C154" t="str">
            <v>0.00 … 170.00 В</v>
          </cell>
          <cell r="D154" t="str">
            <v>100 В*</v>
          </cell>
          <cell r="E154"/>
          <cell r="F154"/>
          <cell r="G154"/>
        </row>
        <row r="155">
          <cell r="A155" t="str">
            <v>Общее</v>
          </cell>
          <cell r="B155"/>
          <cell r="C155"/>
          <cell r="D155"/>
          <cell r="E155"/>
          <cell r="F155"/>
          <cell r="G155"/>
        </row>
        <row r="156">
          <cell r="A156" t="str">
            <v>Адрес</v>
          </cell>
          <cell r="B156" t="str">
            <v>Параметр</v>
          </cell>
          <cell r="C156" t="str">
            <v>Значение/диапазон/шаг</v>
          </cell>
          <cell r="D156" t="str">
            <v>Задаваемый параметр</v>
          </cell>
          <cell r="E156"/>
          <cell r="F156"/>
          <cell r="G156"/>
        </row>
        <row r="157">
          <cell r="A157"/>
          <cell r="B157"/>
          <cell r="C157"/>
          <cell r="D157"/>
          <cell r="E157"/>
          <cell r="F157"/>
          <cell r="G157"/>
        </row>
        <row r="158">
          <cell r="A158"/>
          <cell r="B158" t="str">
            <v>Синхронизируемый коммутационный аппарат</v>
          </cell>
          <cell r="C158"/>
          <cell r="D158" t="str">
            <v>Q*</v>
          </cell>
          <cell r="E158"/>
          <cell r="F158"/>
          <cell r="G158"/>
        </row>
        <row r="159">
          <cell r="A159" t="str">
            <v>0x200004126986</v>
          </cell>
          <cell r="B159" t="str">
            <v>Uмин</v>
          </cell>
          <cell r="C159" t="str">
            <v>20 … 125 В</v>
          </cell>
          <cell r="D159" t="str">
            <v>60 В</v>
          </cell>
          <cell r="E159"/>
          <cell r="F159"/>
          <cell r="G159"/>
        </row>
        <row r="160">
          <cell r="A160" t="str">
            <v>0x200004126987</v>
          </cell>
          <cell r="B160" t="str">
            <v>Uмакс</v>
          </cell>
          <cell r="C160" t="str">
            <v>20 … 140 В</v>
          </cell>
          <cell r="D160" t="str">
            <v>120 В</v>
          </cell>
          <cell r="E160"/>
          <cell r="F160"/>
          <cell r="G160"/>
        </row>
        <row r="161">
          <cell r="A161" t="str">
            <v>0x200004126988</v>
          </cell>
          <cell r="B161" t="str">
            <v>Uобест</v>
          </cell>
          <cell r="C161" t="str">
            <v>1 … 60 В</v>
          </cell>
          <cell r="D161" t="str">
            <v>50 В</v>
          </cell>
          <cell r="E161"/>
          <cell r="F161"/>
          <cell r="G161"/>
        </row>
        <row r="162">
          <cell r="A162" t="str">
            <v>0x200004126989</v>
          </cell>
          <cell r="B162" t="str">
            <v>Синхр.U1&gt;U2&lt;</v>
          </cell>
          <cell r="C162" t="str">
            <v>ДА_x000D_
НЕТ</v>
          </cell>
          <cell r="D162" t="str">
            <v>ДА</v>
          </cell>
          <cell r="E162"/>
          <cell r="F162"/>
          <cell r="G162"/>
        </row>
        <row r="163">
          <cell r="A163" t="str">
            <v>0x20000412698A</v>
          </cell>
          <cell r="B163" t="str">
            <v>Синхр.U1&lt;U2&gt;</v>
          </cell>
          <cell r="C163" t="str">
            <v>ДА_x000D_
НЕТ</v>
          </cell>
          <cell r="D163" t="str">
            <v>ДА</v>
          </cell>
          <cell r="E163"/>
          <cell r="F163"/>
          <cell r="G163"/>
        </row>
        <row r="164">
          <cell r="A164" t="str">
            <v>0x20000412698B</v>
          </cell>
          <cell r="B164" t="str">
            <v>Синхр.U1&lt;U2&lt;</v>
          </cell>
          <cell r="C164" t="str">
            <v>ДА_x000D_
НЕТ</v>
          </cell>
          <cell r="D164" t="str">
            <v>ДА</v>
          </cell>
          <cell r="E164"/>
          <cell r="F164"/>
          <cell r="G164"/>
        </row>
        <row r="165">
          <cell r="A165" t="str">
            <v>0x2000041264A7</v>
          </cell>
          <cell r="B165" t="str">
            <v>Т синхр длит</v>
          </cell>
          <cell r="C165" t="str">
            <v>1.00 … 600.00 сек</v>
          </cell>
          <cell r="D165" t="str">
            <v>60 сек</v>
          </cell>
          <cell r="E165"/>
          <cell r="F165"/>
          <cell r="G165"/>
        </row>
        <row r="166">
          <cell r="A166" t="str">
            <v>0x2000041264B1</v>
          </cell>
          <cell r="B166" t="str">
            <v>fмин</v>
          </cell>
          <cell r="C166" t="str">
            <v>95 … 105 %</v>
          </cell>
          <cell r="D166" t="str">
            <v>97 %</v>
          </cell>
          <cell r="E166"/>
          <cell r="F166"/>
          <cell r="G166"/>
        </row>
        <row r="167">
          <cell r="A167" t="str">
            <v>0x2000041264B2</v>
          </cell>
          <cell r="B167" t="str">
            <v>fмакс</v>
          </cell>
          <cell r="C167" t="str">
            <v>95 … 105 %</v>
          </cell>
          <cell r="D167" t="str">
            <v>101 %</v>
          </cell>
          <cell r="E167"/>
          <cell r="F167"/>
          <cell r="G167"/>
        </row>
        <row r="168">
          <cell r="A168" t="str">
            <v>АсинхрУсловия</v>
          </cell>
          <cell r="B168"/>
          <cell r="C168"/>
          <cell r="D168"/>
          <cell r="E168"/>
          <cell r="F168"/>
          <cell r="G168"/>
        </row>
        <row r="169">
          <cell r="A169" t="str">
            <v>Адрес</v>
          </cell>
          <cell r="B169" t="str">
            <v>Параметр</v>
          </cell>
          <cell r="C169" t="str">
            <v>Значение/диапазон/шаг</v>
          </cell>
          <cell r="D169" t="str">
            <v>Задаваемый параметр</v>
          </cell>
          <cell r="E169"/>
          <cell r="F169"/>
          <cell r="G169"/>
        </row>
        <row r="170">
          <cell r="A170"/>
          <cell r="B170"/>
          <cell r="C170"/>
          <cell r="D170"/>
          <cell r="E170"/>
          <cell r="F170"/>
          <cell r="G170"/>
        </row>
        <row r="171">
          <cell r="A171" t="str">
            <v>0x200004126990</v>
          </cell>
          <cell r="B171" t="str">
            <v>РазнU АсинхрВкл</v>
          </cell>
          <cell r="C171" t="str">
            <v>0.5 … 40.0 В</v>
          </cell>
          <cell r="D171" t="str">
            <v>22.7 В</v>
          </cell>
          <cell r="E171"/>
          <cell r="F171"/>
          <cell r="G171"/>
        </row>
        <row r="172">
          <cell r="A172" t="str">
            <v>0x20000412698D</v>
          </cell>
          <cell r="B172" t="str">
            <v>Разн f СинхрВкл</v>
          </cell>
          <cell r="C172" t="str">
            <v>0.01 … 2.00 Гц</v>
          </cell>
          <cell r="D172" t="str">
            <v>0.4 Гц</v>
          </cell>
          <cell r="E172"/>
          <cell r="F172"/>
          <cell r="G172"/>
        </row>
        <row r="173">
          <cell r="A173" t="str">
            <v>СинхрУсловия</v>
          </cell>
          <cell r="B173"/>
          <cell r="C173"/>
          <cell r="D173"/>
          <cell r="E173"/>
          <cell r="F173"/>
          <cell r="G173"/>
        </row>
        <row r="174">
          <cell r="A174" t="str">
            <v>Адрес</v>
          </cell>
          <cell r="B174" t="str">
            <v>Параметр</v>
          </cell>
          <cell r="C174" t="str">
            <v>Значение/диапазон/шаг</v>
          </cell>
          <cell r="D174" t="str">
            <v>Задаваемый параметр</v>
          </cell>
          <cell r="E174"/>
          <cell r="F174"/>
          <cell r="G174"/>
        </row>
        <row r="175">
          <cell r="A175"/>
          <cell r="B175"/>
          <cell r="C175"/>
          <cell r="D175"/>
          <cell r="E175"/>
          <cell r="F175"/>
          <cell r="G175"/>
        </row>
        <row r="176">
          <cell r="A176" t="str">
            <v>0x20000412698F</v>
          </cell>
          <cell r="B176" t="str">
            <v>f синхрон</v>
          </cell>
          <cell r="C176" t="str">
            <v>10 … 40 мГц</v>
          </cell>
          <cell r="D176" t="str">
            <v>40 мГц</v>
          </cell>
          <cell r="E176"/>
          <cell r="F176"/>
          <cell r="G176"/>
        </row>
        <row r="177">
          <cell r="A177" t="str">
            <v>0x20000412698C</v>
          </cell>
          <cell r="B177" t="str">
            <v>РазнU СинхрВкл</v>
          </cell>
          <cell r="C177" t="str">
            <v>0.5 … 40.0 В</v>
          </cell>
          <cell r="D177" t="str">
            <v>22.7 В</v>
          </cell>
          <cell r="E177"/>
          <cell r="F177"/>
          <cell r="G177"/>
        </row>
        <row r="178">
          <cell r="A178" t="str">
            <v>0x20000412698E</v>
          </cell>
          <cell r="B178" t="str">
            <v>Разн φ СинхрВкл</v>
          </cell>
          <cell r="C178" t="str">
            <v>2 … 90 °</v>
          </cell>
          <cell r="D178" t="str">
            <v>40 °</v>
          </cell>
          <cell r="E178"/>
          <cell r="F178"/>
          <cell r="G178"/>
        </row>
        <row r="179">
          <cell r="A179" t="str">
            <v>0x200004126991</v>
          </cell>
          <cell r="B179" t="str">
            <v>Т синхрон</v>
          </cell>
          <cell r="C179" t="str">
            <v>0.00 … 60.00 сек</v>
          </cell>
          <cell r="D179" t="str">
            <v>0.3 сек</v>
          </cell>
          <cell r="E179"/>
          <cell r="F179"/>
          <cell r="G179"/>
        </row>
        <row r="180">
          <cell r="A180" t="str">
            <v>АПВ</v>
          </cell>
          <cell r="B180"/>
          <cell r="C180"/>
          <cell r="D180"/>
          <cell r="E180"/>
          <cell r="F180"/>
          <cell r="G180"/>
        </row>
        <row r="181">
          <cell r="A181" t="str">
            <v>Общее</v>
          </cell>
          <cell r="B181"/>
          <cell r="C181"/>
          <cell r="D181"/>
          <cell r="E181"/>
          <cell r="F181"/>
          <cell r="G181"/>
        </row>
        <row r="182">
          <cell r="A182" t="str">
            <v>Адрес</v>
          </cell>
          <cell r="B182" t="str">
            <v>Параметр</v>
          </cell>
          <cell r="C182" t="str">
            <v>Значение/диапазон/шаг</v>
          </cell>
          <cell r="D182" t="str">
            <v>Задаваемый параметр</v>
          </cell>
          <cell r="E182"/>
          <cell r="F182"/>
          <cell r="G182"/>
        </row>
        <row r="183">
          <cell r="A183"/>
          <cell r="B183"/>
          <cell r="C183"/>
          <cell r="D183"/>
          <cell r="E183"/>
          <cell r="F183"/>
          <cell r="G183"/>
        </row>
        <row r="184">
          <cell r="A184" t="str">
            <v>3401</v>
          </cell>
          <cell r="B184" t="str">
            <v>АПВ</v>
          </cell>
          <cell r="C184" t="str">
            <v>ОТКЛ_x000D_
ВКЛ</v>
          </cell>
          <cell r="D184" t="str">
            <v>ВКЛ</v>
          </cell>
          <cell r="E184"/>
          <cell r="F184"/>
          <cell r="G184"/>
        </row>
        <row r="185">
          <cell r="A185" t="str">
            <v>3402</v>
          </cell>
          <cell r="B185" t="str">
            <v>ВЫКЛ, Контроль</v>
          </cell>
          <cell r="C185" t="str">
            <v>ДА_x000D_
НЕТ</v>
          </cell>
          <cell r="D185" t="str">
            <v>ДА</v>
          </cell>
          <cell r="E185"/>
          <cell r="F185"/>
          <cell r="G185"/>
        </row>
        <row r="186">
          <cell r="A186" t="str">
            <v>3403</v>
          </cell>
          <cell r="B186" t="str">
            <v>Время возвр АПВ</v>
          </cell>
          <cell r="C186" t="str">
            <v>0.50 … 300.00 сек</v>
          </cell>
          <cell r="D186" t="str">
            <v>20 сек</v>
          </cell>
          <cell r="E186"/>
          <cell r="F186"/>
          <cell r="G186"/>
        </row>
        <row r="187">
          <cell r="A187" t="str">
            <v>3404</v>
          </cell>
          <cell r="B187" t="str">
            <v>Тблок ручн. вкл</v>
          </cell>
          <cell r="C187" t="str">
            <v>0.50 … 300.00 сек; 0</v>
          </cell>
          <cell r="D187" t="str">
            <v>20 сек</v>
          </cell>
          <cell r="E187"/>
          <cell r="F187"/>
          <cell r="G187"/>
        </row>
        <row r="188">
          <cell r="A188" t="str">
            <v>3406</v>
          </cell>
          <cell r="B188" t="str">
            <v>ОБНАР Разв Повр</v>
          </cell>
          <cell r="C188" t="str">
            <v>с Пуском_x000D_
с Отключением</v>
          </cell>
          <cell r="D188" t="str">
            <v>с Отключением</v>
          </cell>
          <cell r="E188"/>
          <cell r="F188"/>
          <cell r="G188"/>
        </row>
        <row r="189">
          <cell r="A189" t="str">
            <v>3407</v>
          </cell>
          <cell r="B189" t="str">
            <v>РЕЖ ОБНАР ПОВР</v>
          </cell>
          <cell r="C189" t="str">
            <v>блокирует АПВ_x000D_
пуск цикла 3ф АПВ</v>
          </cell>
          <cell r="D189" t="str">
            <v>блокирует АПВ</v>
          </cell>
          <cell r="E189"/>
          <cell r="F189"/>
          <cell r="G189"/>
        </row>
        <row r="190">
          <cell r="A190" t="str">
            <v>3408</v>
          </cell>
          <cell r="B190" t="str">
            <v>Тпуска КОНТРОЛЬ</v>
          </cell>
          <cell r="C190" t="str">
            <v>0.01 … 300.00 сек</v>
          </cell>
          <cell r="D190" t="str">
            <v>0.15 сек</v>
          </cell>
          <cell r="E190"/>
          <cell r="F190"/>
          <cell r="G190"/>
        </row>
        <row r="191">
          <cell r="A191" t="str">
            <v>3409</v>
          </cell>
          <cell r="B191" t="str">
            <v>Т контр ВЫКЛ</v>
          </cell>
          <cell r="C191" t="str">
            <v>0.01 … 300.00 сек</v>
          </cell>
          <cell r="D191" t="str">
            <v>1 сек</v>
          </cell>
          <cell r="E191"/>
          <cell r="F191"/>
          <cell r="G191"/>
        </row>
        <row r="192">
          <cell r="A192" t="str">
            <v>3410</v>
          </cell>
          <cell r="B192" t="str">
            <v>Т УдалВключ</v>
          </cell>
          <cell r="C192" t="str">
            <v>0.00 … 300.00 сек; oo</v>
          </cell>
          <cell r="D192" t="str">
            <v>oo</v>
          </cell>
          <cell r="E192"/>
          <cell r="F192"/>
          <cell r="G192"/>
        </row>
        <row r="193">
          <cell r="A193" t="str">
            <v>3411A</v>
          </cell>
          <cell r="B193" t="str">
            <v>Т паузы ПРОДЛ</v>
          </cell>
          <cell r="C193" t="str">
            <v>0.50 … 300.00 сек; oo</v>
          </cell>
          <cell r="D193" t="str">
            <v>60 сек</v>
          </cell>
          <cell r="E193"/>
          <cell r="F193"/>
          <cell r="G193"/>
        </row>
        <row r="194">
          <cell r="A194">
            <v>3413</v>
          </cell>
          <cell r="B194" t="str">
            <v>Команд. вкл. действует через упр. объект</v>
          </cell>
          <cell r="C194" t="str">
            <v>-</v>
          </cell>
          <cell r="D194" t="str">
            <v>нет*</v>
          </cell>
          <cell r="E194"/>
          <cell r="F194"/>
          <cell r="G194"/>
        </row>
        <row r="195">
          <cell r="A195">
            <v>3414</v>
          </cell>
          <cell r="B195" t="str">
            <v>Внутренняя синхронизация</v>
          </cell>
          <cell r="C195" t="str">
            <v>нет
СИНХР функция 6
СИНХР функция 7
СИНХР функция 8</v>
          </cell>
          <cell r="D195" t="str">
            <v>нет*</v>
          </cell>
          <cell r="E195"/>
          <cell r="F195"/>
          <cell r="G195"/>
        </row>
        <row r="196">
          <cell r="A196" t="str">
            <v>1 цикл АПВ</v>
          </cell>
          <cell r="B196"/>
          <cell r="C196"/>
          <cell r="D196"/>
          <cell r="E196"/>
          <cell r="F196"/>
          <cell r="G196"/>
        </row>
        <row r="197">
          <cell r="A197" t="str">
            <v>Адрес</v>
          </cell>
          <cell r="B197" t="str">
            <v>Параметр</v>
          </cell>
          <cell r="C197" t="str">
            <v>Значение/диапазон/шаг</v>
          </cell>
          <cell r="D197" t="str">
            <v>Задаваемый параметр</v>
          </cell>
          <cell r="E197"/>
          <cell r="F197"/>
          <cell r="G197"/>
        </row>
        <row r="198">
          <cell r="A198"/>
          <cell r="B198"/>
          <cell r="C198"/>
          <cell r="D198"/>
          <cell r="E198"/>
          <cell r="F198"/>
          <cell r="G198"/>
        </row>
        <row r="199">
          <cell r="A199" t="str">
            <v>3457</v>
          </cell>
          <cell r="B199" t="str">
            <v>1.АПВ:Тп3ф Откл</v>
          </cell>
          <cell r="C199" t="str">
            <v>0.01 … 1800.00 сек; oo</v>
          </cell>
          <cell r="D199" t="str">
            <v>2.3 сек</v>
          </cell>
          <cell r="E199"/>
          <cell r="F199"/>
          <cell r="G199"/>
        </row>
        <row r="200">
          <cell r="A200" t="str">
            <v>3458</v>
          </cell>
          <cell r="B200" t="str">
            <v>1.АПВ:ТпРазвКЗ</v>
          </cell>
          <cell r="C200" t="str">
            <v>0.01 … 1800.00 сек</v>
          </cell>
          <cell r="D200" t="str">
            <v>1800 сек*</v>
          </cell>
          <cell r="E200"/>
          <cell r="F200"/>
          <cell r="G200"/>
        </row>
        <row r="201">
          <cell r="A201" t="str">
            <v>3459</v>
          </cell>
          <cell r="B201" t="str">
            <v>1.АПВ:ВЫКЛ,гот</v>
          </cell>
          <cell r="C201" t="str">
            <v>ДА_x000D_
НЕТ</v>
          </cell>
          <cell r="D201" t="str">
            <v>ДА*</v>
          </cell>
          <cell r="E201"/>
          <cell r="F201"/>
          <cell r="G201"/>
        </row>
        <row r="202">
          <cell r="A202" t="str">
            <v>3460</v>
          </cell>
          <cell r="B202" t="str">
            <v>1.АПВ ЗапрСинх</v>
          </cell>
          <cell r="C202" t="str">
            <v>ДА_x000D_
НЕТ</v>
          </cell>
          <cell r="D202" t="str">
            <v>ДА</v>
          </cell>
          <cell r="E202"/>
          <cell r="F202"/>
          <cell r="G202"/>
        </row>
        <row r="203">
          <cell r="A203" t="str">
            <v>3ф.откл/ПОЛ/УБП</v>
          </cell>
          <cell r="B203"/>
          <cell r="C203"/>
          <cell r="D203"/>
          <cell r="E203"/>
          <cell r="F203"/>
          <cell r="G203"/>
        </row>
        <row r="204">
          <cell r="A204" t="str">
            <v>Адрес</v>
          </cell>
          <cell r="B204" t="str">
            <v>Параметр</v>
          </cell>
          <cell r="C204" t="str">
            <v>Значение/диапазон/шаг</v>
          </cell>
          <cell r="D204" t="str">
            <v>Задаваемый параметр</v>
          </cell>
          <cell r="E204"/>
          <cell r="F204"/>
          <cell r="G204"/>
        </row>
        <row r="205">
          <cell r="A205"/>
          <cell r="B205"/>
          <cell r="C205"/>
          <cell r="D205"/>
          <cell r="E205"/>
          <cell r="F205"/>
          <cell r="G205"/>
        </row>
        <row r="206">
          <cell r="A206" t="str">
            <v>3430</v>
          </cell>
          <cell r="B206" t="str">
            <v>АПВ ОТКЛ 3ф</v>
          </cell>
          <cell r="C206" t="str">
            <v>ДА_x000D_
НЕТ</v>
          </cell>
          <cell r="D206" t="str">
            <v>НЕТ</v>
          </cell>
          <cell r="E206"/>
          <cell r="F206"/>
          <cell r="G206"/>
        </row>
        <row r="207">
          <cell r="A207" t="str">
            <v>3431</v>
          </cell>
          <cell r="B207" t="str">
            <v>ПОЛ или АБП</v>
          </cell>
          <cell r="C207" t="str">
            <v>без_x000D_
Укороченная Бесток. Пауза (УБП)_x000D_
Проверка Обесточенности Линии (ПОЛ)</v>
          </cell>
          <cell r="D207" t="str">
            <v>без</v>
          </cell>
          <cell r="E207"/>
          <cell r="F207"/>
          <cell r="G207"/>
        </row>
        <row r="208">
          <cell r="A208" t="str">
            <v>3438</v>
          </cell>
          <cell r="B208" t="str">
            <v>Т Uстаб</v>
          </cell>
          <cell r="C208" t="str">
            <v>0.10 … 30.00 сек</v>
          </cell>
          <cell r="D208" t="str">
            <v>0.1 сек</v>
          </cell>
          <cell r="E208"/>
          <cell r="F208"/>
          <cell r="G208"/>
        </row>
        <row r="209">
          <cell r="A209" t="str">
            <v>3440</v>
          </cell>
          <cell r="B209" t="str">
            <v>Uс/напр&gt;</v>
          </cell>
          <cell r="C209" t="str">
            <v>30 … 90 В</v>
          </cell>
          <cell r="D209" t="str">
            <v>48 В</v>
          </cell>
          <cell r="E209"/>
          <cell r="F209"/>
          <cell r="G209"/>
        </row>
        <row r="210">
          <cell r="A210" t="str">
            <v>3441</v>
          </cell>
          <cell r="B210" t="str">
            <v>U-б/напр&lt;</v>
          </cell>
          <cell r="C210" t="str">
            <v>2 … 70 В</v>
          </cell>
          <cell r="D210" t="str">
            <v>30 В</v>
          </cell>
          <cell r="E210"/>
          <cell r="F210"/>
          <cell r="G210"/>
        </row>
        <row r="211">
          <cell r="A211" t="str">
            <v>УРОВ</v>
          </cell>
          <cell r="B211"/>
          <cell r="C211"/>
          <cell r="D211"/>
          <cell r="E211"/>
          <cell r="F211"/>
          <cell r="G211"/>
        </row>
        <row r="212">
          <cell r="A212" t="str">
            <v>Общее</v>
          </cell>
          <cell r="B212"/>
          <cell r="C212"/>
          <cell r="D212"/>
          <cell r="E212"/>
          <cell r="F212"/>
          <cell r="G212"/>
        </row>
        <row r="213">
          <cell r="A213" t="str">
            <v>Адрес</v>
          </cell>
          <cell r="B213" t="str">
            <v>Параметр</v>
          </cell>
          <cell r="C213" t="str">
            <v>Значение/диапазон/шаг</v>
          </cell>
          <cell r="D213" t="str">
            <v>Задаваемый параметр</v>
          </cell>
          <cell r="E213"/>
          <cell r="F213"/>
          <cell r="G213"/>
        </row>
        <row r="214">
          <cell r="A214"/>
          <cell r="B214"/>
          <cell r="C214"/>
          <cell r="D214"/>
          <cell r="E214"/>
          <cell r="F214"/>
          <cell r="G214"/>
        </row>
        <row r="215">
          <cell r="A215" t="str">
            <v>3901</v>
          </cell>
          <cell r="B215" t="str">
            <v>Ф-я УРОВ</v>
          </cell>
          <cell r="C215" t="str">
            <v>ВКЛ_x000D_
ОТКЛ</v>
          </cell>
          <cell r="D215" t="str">
            <v>ВКЛ</v>
          </cell>
          <cell r="E215"/>
          <cell r="F215"/>
          <cell r="G215"/>
        </row>
        <row r="216">
          <cell r="A216" t="str">
            <v>3902</v>
          </cell>
          <cell r="B216" t="str">
            <v>I&gt; УРОВ</v>
          </cell>
          <cell r="C216" t="str">
            <v>0.05 … 1.20 А</v>
          </cell>
          <cell r="D216" t="str">
            <v>0.05 А</v>
          </cell>
          <cell r="E216"/>
          <cell r="F216"/>
          <cell r="G216"/>
        </row>
        <row r="217">
          <cell r="A217" t="str">
            <v>3912</v>
          </cell>
          <cell r="B217" t="str">
            <v>IЕ&gt; УРОВ</v>
          </cell>
          <cell r="C217" t="str">
            <v>0.05 … 1.20 А</v>
          </cell>
          <cell r="D217" t="str">
            <v>0.05 А</v>
          </cell>
          <cell r="E217"/>
          <cell r="F217"/>
          <cell r="G217"/>
        </row>
        <row r="218">
          <cell r="A218" t="str">
            <v>3909</v>
          </cell>
          <cell r="B218" t="str">
            <v>Конт ВЫКЛ Б/К</v>
          </cell>
          <cell r="C218" t="str">
            <v>НЕТ_x000D_
ДА</v>
          </cell>
          <cell r="D218" t="str">
            <v>НЕТ</v>
          </cell>
          <cell r="E218"/>
          <cell r="F218"/>
          <cell r="G218"/>
        </row>
        <row r="219">
          <cell r="A219" t="str">
            <v>3911</v>
          </cell>
          <cell r="B219" t="str">
            <v>Контр Ранж ИП</v>
          </cell>
          <cell r="C219" t="str">
            <v>ДА_x000D_
НЕТ</v>
          </cell>
          <cell r="D219" t="str">
            <v>НЕТ</v>
          </cell>
          <cell r="E219"/>
          <cell r="F219"/>
          <cell r="G219"/>
        </row>
        <row r="220">
          <cell r="A220" t="str">
            <v>Ком Откл Т1/Т2</v>
          </cell>
          <cell r="B220"/>
          <cell r="C220"/>
          <cell r="D220"/>
          <cell r="E220"/>
          <cell r="F220"/>
          <cell r="G220"/>
        </row>
        <row r="221">
          <cell r="A221" t="str">
            <v>Адрес</v>
          </cell>
          <cell r="B221" t="str">
            <v>Параметр</v>
          </cell>
          <cell r="C221" t="str">
            <v>Значение/диапазон/шаг</v>
          </cell>
          <cell r="D221" t="str">
            <v>Задаваемый параметр</v>
          </cell>
          <cell r="E221"/>
          <cell r="F221"/>
          <cell r="G221"/>
        </row>
        <row r="222">
          <cell r="A222"/>
          <cell r="B222"/>
          <cell r="C222"/>
          <cell r="D222"/>
          <cell r="E222"/>
          <cell r="F222"/>
          <cell r="G222"/>
        </row>
        <row r="223">
          <cell r="A223" t="str">
            <v>3904</v>
          </cell>
          <cell r="B223" t="str">
            <v>Т1-1ф</v>
          </cell>
          <cell r="C223" t="str">
            <v>0.00 … 30.00 сек; oo</v>
          </cell>
          <cell r="D223" t="str">
            <v>0.12 сек</v>
          </cell>
          <cell r="E223"/>
          <cell r="F223"/>
          <cell r="G223"/>
        </row>
        <row r="224">
          <cell r="A224" t="str">
            <v>3905</v>
          </cell>
          <cell r="B224" t="str">
            <v>Т1-3ф</v>
          </cell>
          <cell r="C224" t="str">
            <v>0.00 … 30.00 сек; oo</v>
          </cell>
          <cell r="D224" t="str">
            <v>0.12 сек</v>
          </cell>
          <cell r="E224"/>
          <cell r="F224"/>
          <cell r="G224"/>
        </row>
        <row r="225">
          <cell r="A225" t="str">
            <v>3906</v>
          </cell>
          <cell r="B225" t="str">
            <v>Т2</v>
          </cell>
          <cell r="C225" t="str">
            <v>0.00 … 30.00 сек; oo</v>
          </cell>
          <cell r="D225" t="str">
            <v>0.3 сек</v>
          </cell>
          <cell r="E225"/>
          <cell r="F225"/>
          <cell r="G225"/>
        </row>
        <row r="226">
          <cell r="A226" t="str">
            <v>Неиспр ВЫКЛ</v>
          </cell>
          <cell r="B226"/>
          <cell r="C226"/>
          <cell r="D226"/>
          <cell r="E226"/>
          <cell r="F226"/>
          <cell r="G226"/>
        </row>
        <row r="227">
          <cell r="A227" t="str">
            <v>Адрес</v>
          </cell>
          <cell r="B227" t="str">
            <v>Параметр</v>
          </cell>
          <cell r="C227" t="str">
            <v>Значение/диапазон/шаг</v>
          </cell>
          <cell r="D227" t="str">
            <v>Задаваемый параметр</v>
          </cell>
          <cell r="E227"/>
          <cell r="F227"/>
          <cell r="G227"/>
        </row>
        <row r="228">
          <cell r="A228"/>
          <cell r="B228"/>
          <cell r="C228"/>
          <cell r="D228"/>
          <cell r="E228"/>
          <cell r="F228"/>
          <cell r="G228"/>
        </row>
        <row r="229">
          <cell r="A229" t="str">
            <v>3907</v>
          </cell>
          <cell r="B229" t="str">
            <v>Т3 Неисп ВЫКЛ</v>
          </cell>
          <cell r="C229" t="str">
            <v>0.00 … 30.00 сек; oo</v>
          </cell>
          <cell r="D229" t="str">
            <v>0.2 сек</v>
          </cell>
          <cell r="E229"/>
          <cell r="F229"/>
          <cell r="G229"/>
        </row>
        <row r="230">
          <cell r="A230" t="str">
            <v>3908</v>
          </cell>
          <cell r="B230" t="str">
            <v>ОтклНеиспВыключ</v>
          </cell>
          <cell r="C230" t="str">
            <v>НЕТ_x000D_
УРОВ Откл (Т1)_x000D_
УРОВ Откл (Т2)_x000D_
УРОВ Откл (Т1 и Т2)</v>
          </cell>
          <cell r="D230" t="str">
            <v>УРОВ Откл (Т1 и Т2)</v>
          </cell>
          <cell r="E230"/>
          <cell r="F230"/>
          <cell r="G230"/>
        </row>
        <row r="231">
          <cell r="A231" t="str">
            <v>Защ Конц Прис</v>
          </cell>
          <cell r="B231"/>
          <cell r="C231"/>
          <cell r="D231"/>
          <cell r="E231"/>
          <cell r="F231"/>
          <cell r="G231"/>
        </row>
        <row r="232">
          <cell r="A232" t="str">
            <v>Адрес</v>
          </cell>
          <cell r="B232" t="str">
            <v>Параметр</v>
          </cell>
          <cell r="C232" t="str">
            <v>Значение/диапазон/шаг</v>
          </cell>
          <cell r="D232" t="str">
            <v>Задаваемый параметр</v>
          </cell>
          <cell r="E232"/>
          <cell r="F232"/>
          <cell r="G232"/>
        </row>
        <row r="233">
          <cell r="A233"/>
          <cell r="B233"/>
          <cell r="C233"/>
          <cell r="D233"/>
          <cell r="E233"/>
          <cell r="F233"/>
          <cell r="G233"/>
        </row>
        <row r="234">
          <cell r="A234" t="str">
            <v>3921</v>
          </cell>
          <cell r="B234" t="str">
            <v>ЗащКЗ мертв зон</v>
          </cell>
          <cell r="C234" t="str">
            <v>ВКЛ_x000D_
ОТКЛ</v>
          </cell>
          <cell r="D234" t="str">
            <v>ВКЛ*</v>
          </cell>
          <cell r="E234"/>
          <cell r="F234"/>
          <cell r="G234"/>
        </row>
        <row r="235">
          <cell r="A235" t="str">
            <v>3922</v>
          </cell>
          <cell r="B235" t="str">
            <v>ВыдВрЗащМертЗон</v>
          </cell>
          <cell r="C235" t="str">
            <v>0.00 … 30.00 сек; oo</v>
          </cell>
          <cell r="D235" t="str">
            <v>0.3 сек</v>
          </cell>
          <cell r="E235"/>
          <cell r="F235"/>
          <cell r="G235"/>
        </row>
        <row r="236">
          <cell r="A236" t="str">
            <v>Расхождение Фаз</v>
          </cell>
          <cell r="B236"/>
          <cell r="C236"/>
          <cell r="D236"/>
          <cell r="E236"/>
          <cell r="F236"/>
          <cell r="G236"/>
        </row>
        <row r="237">
          <cell r="A237" t="str">
            <v>Адрес</v>
          </cell>
          <cell r="B237" t="str">
            <v>Параметр</v>
          </cell>
          <cell r="C237" t="str">
            <v>Значение/диапазон/шаг</v>
          </cell>
          <cell r="D237" t="str">
            <v>Задаваемый параметр</v>
          </cell>
          <cell r="E237"/>
          <cell r="F237"/>
          <cell r="G237"/>
        </row>
        <row r="238">
          <cell r="A238"/>
          <cell r="B238"/>
          <cell r="C238"/>
          <cell r="D238"/>
          <cell r="E238"/>
          <cell r="F238"/>
          <cell r="G238"/>
        </row>
        <row r="239">
          <cell r="A239" t="str">
            <v>3931</v>
          </cell>
          <cell r="B239" t="str">
            <v>Защ. от НПФ</v>
          </cell>
          <cell r="C239" t="str">
            <v>ВКЛ_x000D_
ОТКЛ</v>
          </cell>
          <cell r="D239" t="str">
            <v>ОТКЛ</v>
          </cell>
          <cell r="E239"/>
          <cell r="F239"/>
          <cell r="G239"/>
        </row>
        <row r="240">
          <cell r="A240" t="str">
            <v>3932</v>
          </cell>
          <cell r="B240" t="str">
            <v>ВыдВрем ЗНПФ</v>
          </cell>
          <cell r="C240" t="str">
            <v>0.00 … 30.00 сек; oo</v>
          </cell>
          <cell r="D240" t="str">
            <v>oo</v>
          </cell>
          <cell r="E240"/>
          <cell r="F240"/>
          <cell r="G240"/>
        </row>
        <row r="241">
          <cell r="A241" t="str">
            <v>ЗащДугПерекр</v>
          </cell>
          <cell r="B241"/>
          <cell r="C241"/>
          <cell r="D241"/>
          <cell r="E241"/>
          <cell r="F241"/>
          <cell r="G241"/>
        </row>
        <row r="242">
          <cell r="A242" t="str">
            <v>Адрес</v>
          </cell>
          <cell r="B242" t="str">
            <v>Параметр</v>
          </cell>
          <cell r="C242" t="str">
            <v>Значение/диапазон/шаг</v>
          </cell>
          <cell r="D242" t="str">
            <v>Задаваемый параметр</v>
          </cell>
          <cell r="E242"/>
          <cell r="F242"/>
          <cell r="G242"/>
        </row>
        <row r="243">
          <cell r="A243"/>
          <cell r="B243"/>
          <cell r="C243"/>
          <cell r="D243"/>
          <cell r="E243"/>
          <cell r="F243"/>
          <cell r="G243"/>
        </row>
        <row r="244">
          <cell r="A244" t="str">
            <v>3940</v>
          </cell>
          <cell r="B244" t="str">
            <v>ЗащДугПерекр</v>
          </cell>
          <cell r="C244" t="str">
            <v>ВКЛ_x000D_
ОТКЛ</v>
          </cell>
          <cell r="D244" t="str">
            <v>ОТКЛ*</v>
          </cell>
          <cell r="E244"/>
          <cell r="F244"/>
          <cell r="G244"/>
        </row>
        <row r="245">
          <cell r="A245" t="str">
            <v>Контроль измеряемых величин</v>
          </cell>
          <cell r="B245"/>
          <cell r="C245"/>
          <cell r="D245"/>
          <cell r="E245"/>
          <cell r="F245"/>
          <cell r="G245"/>
        </row>
        <row r="246">
          <cell r="A246" t="str">
            <v>Адрес</v>
          </cell>
          <cell r="B246" t="str">
            <v>Параметр</v>
          </cell>
          <cell r="C246" t="str">
            <v>Значение/диапазон/шаг</v>
          </cell>
          <cell r="D246" t="str">
            <v>Задаваемый параметр</v>
          </cell>
          <cell r="E246"/>
          <cell r="F246"/>
          <cell r="G246"/>
        </row>
        <row r="247">
          <cell r="A247"/>
          <cell r="B247"/>
          <cell r="C247"/>
          <cell r="D247"/>
          <cell r="E247"/>
          <cell r="F247"/>
          <cell r="G247"/>
        </row>
        <row r="248">
          <cell r="A248" t="str">
            <v>2915</v>
          </cell>
          <cell r="B248" t="str">
            <v>Контр БНН</v>
          </cell>
          <cell r="C248" t="str">
            <v>с контролем тока_x000D_
с контролем тока и бл-контактов сил.вык._x000D_
ОТКЛ</v>
          </cell>
          <cell r="D248" t="str">
            <v>с контролем тока</v>
          </cell>
          <cell r="E248"/>
          <cell r="F248"/>
          <cell r="G248"/>
        </row>
        <row r="249">
          <cell r="A249" t="str">
            <v>2916A</v>
          </cell>
          <cell r="B249" t="str">
            <v>Т БНН</v>
          </cell>
          <cell r="C249" t="str">
            <v>0.00 … 30.00 сек</v>
          </cell>
          <cell r="D249" t="str">
            <v>9 сек</v>
          </cell>
          <cell r="E249"/>
          <cell r="F249"/>
          <cell r="G249"/>
        </row>
        <row r="250">
          <cell r="A250" t="str">
            <v>2917</v>
          </cell>
          <cell r="B250" t="str">
            <v>БНН U&lt; (3ф)</v>
          </cell>
          <cell r="C250" t="str">
            <v>2 … 100 В</v>
          </cell>
          <cell r="D250" t="str">
            <v>29 В</v>
          </cell>
          <cell r="E250"/>
          <cell r="F250"/>
          <cell r="G250"/>
        </row>
        <row r="252">
          <cell r="A252" t="str">
            <v>2. Примечания:</v>
          </cell>
          <cell r="B252"/>
          <cell r="C252"/>
          <cell r="D252"/>
          <cell r="E252"/>
          <cell r="F252"/>
          <cell r="G252"/>
        </row>
        <row r="253">
          <cell r="A253" t="str">
            <v>* - параметры уточняются при наладке с учётом характеристик оборудования и схем вторичных цепей.</v>
          </cell>
          <cell r="B253"/>
          <cell r="C253"/>
          <cell r="D253"/>
          <cell r="E253"/>
          <cell r="F253"/>
          <cell r="G253"/>
        </row>
        <row r="254">
          <cell r="A254" t="str">
            <v>·</v>
          </cell>
          <cell r="B254" t="str">
            <v>Группа синхронизации 7 используется при АПВ.</v>
          </cell>
          <cell r="C254"/>
          <cell r="D254"/>
          <cell r="E254"/>
          <cell r="F254"/>
          <cell r="G254"/>
        </row>
        <row r="255">
          <cell r="A255"/>
          <cell r="B255" t="str">
            <v>Оперативно выбираемые режимы АПВ (от ключа выбора режима АПВ):</v>
          </cell>
          <cell r="C255"/>
          <cell r="D255"/>
          <cell r="E255"/>
          <cell r="F255"/>
          <cell r="G255"/>
        </row>
        <row r="256">
          <cell r="A256"/>
          <cell r="B256" t="str">
            <v>1. КС</v>
          </cell>
          <cell r="C256"/>
          <cell r="D256"/>
          <cell r="E256"/>
          <cell r="F256"/>
          <cell r="G256"/>
        </row>
        <row r="257">
          <cell r="A257"/>
          <cell r="B257" t="str">
            <v>2. (КОНЛ и КННШ) или КС</v>
          </cell>
          <cell r="C257"/>
          <cell r="D257"/>
          <cell r="E257"/>
          <cell r="F257"/>
          <cell r="G257"/>
        </row>
        <row r="258">
          <cell r="A258"/>
          <cell r="B258" t="str">
            <v>3. (КННЛ и КОНШ) или КС</v>
          </cell>
          <cell r="C258"/>
          <cell r="D258"/>
          <cell r="E258"/>
          <cell r="F258"/>
          <cell r="G258"/>
        </row>
        <row r="259">
          <cell r="A259"/>
          <cell r="B259" t="str">
            <v>4. "Слепое" АПВ</v>
          </cell>
          <cell r="C259"/>
          <cell r="D259"/>
          <cell r="E259"/>
          <cell r="F259"/>
          <cell r="G259"/>
        </row>
        <row r="260">
          <cell r="A260" t="str">
            <v>·</v>
          </cell>
          <cell r="B260" t="str">
            <v>Группа синхронизации 8 используется при оперативном включении.</v>
          </cell>
          <cell r="C260"/>
          <cell r="D260"/>
          <cell r="E260"/>
          <cell r="F260"/>
          <cell r="G260"/>
        </row>
        <row r="261">
          <cell r="A261" t="str">
            <v>·</v>
          </cell>
          <cell r="B261" t="str">
            <v>Условия оперативного включения: КС или (КОНЛ и КННШ) или (КННЛ и КОНШ) или (КОНЛ и КОНШ).</v>
          </cell>
          <cell r="C261"/>
          <cell r="D261"/>
          <cell r="E261"/>
          <cell r="F261"/>
          <cell r="G261"/>
        </row>
        <row r="262">
          <cell r="A262" t="str">
            <v>·</v>
          </cell>
          <cell r="B262" t="str">
            <v>Таблица уставок №б1-IV-10-147 отменяется в связи с уточнением параметров настройки</v>
          </cell>
          <cell r="C262"/>
          <cell r="D262"/>
          <cell r="E262"/>
          <cell r="F262"/>
          <cell r="G262"/>
        </row>
        <row r="264">
          <cell r="A264"/>
          <cell r="B264" t="str">
            <v>Исполнитель:</v>
          </cell>
          <cell r="C264"/>
        </row>
        <row r="265">
          <cell r="A265"/>
          <cell r="B265" t="str">
            <v xml:space="preserve">С.В. Мирочник, 33-59, 249-82-59 msv@prim.so-ups.ru </v>
          </cell>
          <cell r="C265"/>
        </row>
        <row r="266">
          <cell r="A266"/>
          <cell r="B266"/>
          <cell r="C266"/>
        </row>
        <row r="267">
          <cell r="A267"/>
          <cell r="B267" t="str">
            <v>Уставки выданы:</v>
          </cell>
          <cell r="C267"/>
        </row>
        <row r="268">
          <cell r="A268"/>
          <cell r="B268" t="str">
            <v>Уставки выставлены:</v>
          </cell>
          <cell r="C268"/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256"/>
  <sheetViews>
    <sheetView tabSelected="1" topLeftCell="A179" zoomScale="90" zoomScaleNormal="90" workbookViewId="0">
      <selection activeCell="D194" sqref="D194:G194"/>
    </sheetView>
  </sheetViews>
  <sheetFormatPr defaultRowHeight="15" x14ac:dyDescent="0.25"/>
  <cols>
    <col min="1" max="1" width="6.7109375" style="1" customWidth="1"/>
    <col min="2" max="2" width="23.7109375" style="2" customWidth="1"/>
    <col min="3" max="3" width="30.7109375" style="2" customWidth="1"/>
    <col min="4" max="7" width="9" style="3" customWidth="1"/>
    <col min="8" max="8" width="42.28515625" style="2" customWidth="1"/>
    <col min="13" max="16" width="3.7109375" customWidth="1"/>
  </cols>
  <sheetData>
    <row r="1" spans="1:16" x14ac:dyDescent="0.25">
      <c r="A1" s="9" t="s">
        <v>0</v>
      </c>
      <c r="B1" s="9"/>
      <c r="C1" s="9" t="s">
        <v>1</v>
      </c>
      <c r="D1" s="9"/>
      <c r="E1" s="9"/>
      <c r="F1" s="9"/>
      <c r="G1" s="9"/>
      <c r="H1" s="9"/>
    </row>
    <row r="2" spans="1:16" x14ac:dyDescent="0.25">
      <c r="A2" s="9" t="s">
        <v>2</v>
      </c>
      <c r="B2" s="9"/>
      <c r="C2" s="9" t="s">
        <v>3</v>
      </c>
      <c r="D2" s="9"/>
      <c r="E2" s="9"/>
      <c r="F2" s="9"/>
      <c r="G2" s="9"/>
      <c r="H2" s="9"/>
    </row>
    <row r="3" spans="1:16" x14ac:dyDescent="0.25">
      <c r="A3" s="9" t="s">
        <v>4</v>
      </c>
      <c r="B3" s="9"/>
      <c r="C3" s="9" t="s">
        <v>5</v>
      </c>
      <c r="D3" s="9"/>
      <c r="E3" s="9"/>
      <c r="F3" s="9"/>
      <c r="G3" s="9"/>
      <c r="H3" s="9"/>
    </row>
    <row r="4" spans="1:16" x14ac:dyDescent="0.25">
      <c r="A4" s="9" t="s">
        <v>6</v>
      </c>
      <c r="B4" s="9"/>
      <c r="C4" s="9" t="s">
        <v>7</v>
      </c>
      <c r="D4" s="9"/>
      <c r="E4" s="9"/>
      <c r="F4" s="9"/>
      <c r="G4" s="9"/>
      <c r="H4" s="9"/>
    </row>
    <row r="5" spans="1:16" ht="17.25" x14ac:dyDescent="0.25">
      <c r="A5" s="10" t="s">
        <v>8</v>
      </c>
      <c r="B5" s="10"/>
      <c r="C5" s="10"/>
      <c r="D5" s="10"/>
      <c r="E5" s="10"/>
      <c r="F5" s="10"/>
      <c r="G5" s="10"/>
      <c r="H5" s="10"/>
    </row>
    <row r="6" spans="1:16" x14ac:dyDescent="0.25">
      <c r="A6" s="11" t="s">
        <v>78</v>
      </c>
      <c r="B6" s="11" t="s">
        <v>79</v>
      </c>
      <c r="C6" s="11" t="s">
        <v>80</v>
      </c>
      <c r="D6" s="11" t="s">
        <v>81</v>
      </c>
      <c r="E6" s="11"/>
      <c r="F6" s="11"/>
      <c r="G6" s="11"/>
      <c r="H6" s="11" t="s">
        <v>82</v>
      </c>
    </row>
    <row r="7" spans="1:16" x14ac:dyDescent="0.25">
      <c r="A7" s="11"/>
      <c r="B7" s="11"/>
      <c r="C7" s="11"/>
      <c r="D7" s="11"/>
      <c r="E7" s="11"/>
      <c r="F7" s="11"/>
      <c r="G7" s="11"/>
      <c r="H7" s="11"/>
      <c r="I7">
        <v>1</v>
      </c>
      <c r="J7">
        <v>2</v>
      </c>
      <c r="K7">
        <v>3</v>
      </c>
      <c r="L7">
        <v>4</v>
      </c>
      <c r="M7" s="5">
        <v>1</v>
      </c>
      <c r="N7" s="5">
        <v>2</v>
      </c>
      <c r="O7" s="5">
        <v>3</v>
      </c>
      <c r="P7" s="5">
        <v>4</v>
      </c>
    </row>
    <row r="8" spans="1:16" ht="30" x14ac:dyDescent="0.25">
      <c r="A8" s="1" t="s">
        <v>9</v>
      </c>
      <c r="B8" s="2" t="s">
        <v>10</v>
      </c>
      <c r="C8" s="2" t="s">
        <v>11</v>
      </c>
      <c r="D8" s="8" t="s">
        <v>12</v>
      </c>
      <c r="E8" s="8"/>
      <c r="F8" s="8"/>
      <c r="G8" s="8"/>
      <c r="H8" s="2" t="s">
        <v>13</v>
      </c>
      <c r="I8" s="6" t="str">
        <f>TRIM(SUBSTITUTE(INDEX([1]ТУ!$A:$G,MATCH($A8,[1]ТУ!$A:$A,0),3+I$7),"*",""))</f>
        <v>Выведено</v>
      </c>
      <c r="J8" s="6" t="str">
        <f>TRIM(SUBSTITUTE(INDEX([1]ТУ!$A:$G,MATCH($A8,[1]ТУ!$A:$A,0),3+J$7),"*",""))</f>
        <v/>
      </c>
      <c r="K8" s="6" t="str">
        <f>TRIM(SUBSTITUTE(INDEX([1]ТУ!$A:$G,MATCH($A8,[1]ТУ!$A:$A,0),3+K$7),"*",""))</f>
        <v/>
      </c>
      <c r="L8" s="6" t="str">
        <f>TRIM(SUBSTITUTE(INDEX([1]ТУ!$A:$G,MATCH($A8,[1]ТУ!$A:$A,0),3+L$7),"*",""))</f>
        <v/>
      </c>
      <c r="M8" s="7" t="str">
        <f>IF($A8&lt;&gt;"",IFERROR(IF(SUBSTITUTE(D8,",",".")&lt;&gt;SUBSTITUTE(SUBSTITUTE(I8,",","."),"∞","oo"),1,""),"!"),"")</f>
        <v/>
      </c>
      <c r="N8" s="7" t="str">
        <f t="shared" ref="N8:P8" si="0">IF($A8&lt;&gt;"",IFERROR(IF(SUBSTITUTE(E8,",",".")&lt;&gt;SUBSTITUTE(SUBSTITUTE(J8,",","."),"∞","oo"),1,""),"!"),"")</f>
        <v/>
      </c>
      <c r="O8" s="7" t="str">
        <f t="shared" si="0"/>
        <v/>
      </c>
      <c r="P8" s="7" t="str">
        <f t="shared" si="0"/>
        <v/>
      </c>
    </row>
    <row r="9" spans="1:16" ht="30" x14ac:dyDescent="0.25">
      <c r="A9" s="4" t="s">
        <v>14</v>
      </c>
      <c r="B9" s="2" t="s">
        <v>15</v>
      </c>
      <c r="C9" s="2" t="s">
        <v>11</v>
      </c>
      <c r="D9" s="8" t="s">
        <v>16</v>
      </c>
      <c r="E9" s="8"/>
      <c r="F9" s="8"/>
      <c r="G9" s="8"/>
      <c r="H9" s="2" t="s">
        <v>17</v>
      </c>
      <c r="I9" s="6" t="str">
        <f>TRIM(SUBSTITUTE(INDEX([1]ТУ!$A:$G,MATCH($A9,[1]ТУ!$A:$A,0),3+I$7),"*",""))</f>
        <v>Введено</v>
      </c>
      <c r="J9" s="6" t="str">
        <f>TRIM(SUBSTITUTE(INDEX([1]ТУ!$A:$G,MATCH($A9,[1]ТУ!$A:$A,0),3+J$7),"*",""))</f>
        <v/>
      </c>
      <c r="K9" s="6" t="str">
        <f>TRIM(SUBSTITUTE(INDEX([1]ТУ!$A:$G,MATCH($A9,[1]ТУ!$A:$A,0),3+K$7),"*",""))</f>
        <v/>
      </c>
      <c r="L9" s="6" t="str">
        <f>TRIM(SUBSTITUTE(INDEX([1]ТУ!$A:$G,MATCH($A9,[1]ТУ!$A:$A,0),3+L$7),"*",""))</f>
        <v/>
      </c>
      <c r="M9" s="7" t="str">
        <f t="shared" ref="M9:M72" si="1">IF($A9&lt;&gt;"",IFERROR(IF(SUBSTITUTE(D9,",",".")&lt;&gt;SUBSTITUTE(SUBSTITUTE(I9,",","."),"∞","oo"),1,""),"!"),"")</f>
        <v/>
      </c>
      <c r="N9" s="7" t="str">
        <f t="shared" ref="N9:N72" si="2">IF($A9&lt;&gt;"",IFERROR(IF(SUBSTITUTE(E9,",",".")&lt;&gt;SUBSTITUTE(SUBSTITUTE(J9,",","."),"∞","oo"),1,""),"!"),"")</f>
        <v/>
      </c>
      <c r="O9" s="7" t="str">
        <f t="shared" ref="O9:O72" si="3">IF($A9&lt;&gt;"",IFERROR(IF(SUBSTITUTE(F9,",",".")&lt;&gt;SUBSTITUTE(SUBSTITUTE(K9,",","."),"∞","oo"),1,""),"!"),"")</f>
        <v/>
      </c>
      <c r="P9" s="7" t="str">
        <f t="shared" ref="P9:P72" si="4">IF($A9&lt;&gt;"",IFERROR(IF(SUBSTITUTE(G9,",",".")&lt;&gt;SUBSTITUTE(SUBSTITUTE(L9,",","."),"∞","oo"),1,""),"!"),"")</f>
        <v/>
      </c>
    </row>
    <row r="10" spans="1:16" ht="30" x14ac:dyDescent="0.25">
      <c r="A10" s="4" t="s">
        <v>18</v>
      </c>
      <c r="B10" s="2" t="s">
        <v>19</v>
      </c>
      <c r="C10" s="2" t="s">
        <v>11</v>
      </c>
      <c r="D10" s="8" t="s">
        <v>12</v>
      </c>
      <c r="E10" s="8"/>
      <c r="F10" s="8"/>
      <c r="G10" s="8"/>
      <c r="H10" s="2" t="s">
        <v>20</v>
      </c>
      <c r="I10" s="6" t="str">
        <f>TRIM(SUBSTITUTE(INDEX([1]ТУ!$A:$G,MATCH($A10,[1]ТУ!$A:$A,0),3+I$7),"*",""))</f>
        <v>Выведено</v>
      </c>
      <c r="J10" s="6" t="str">
        <f>TRIM(SUBSTITUTE(INDEX([1]ТУ!$A:$G,MATCH($A10,[1]ТУ!$A:$A,0),3+J$7),"*",""))</f>
        <v/>
      </c>
      <c r="K10" s="6" t="str">
        <f>TRIM(SUBSTITUTE(INDEX([1]ТУ!$A:$G,MATCH($A10,[1]ТУ!$A:$A,0),3+K$7),"*",""))</f>
        <v/>
      </c>
      <c r="L10" s="6" t="str">
        <f>TRIM(SUBSTITUTE(INDEX([1]ТУ!$A:$G,MATCH($A10,[1]ТУ!$A:$A,0),3+L$7),"*",""))</f>
        <v/>
      </c>
      <c r="M10" s="7" t="str">
        <f t="shared" si="1"/>
        <v/>
      </c>
      <c r="N10" s="7" t="str">
        <f t="shared" si="2"/>
        <v/>
      </c>
      <c r="O10" s="7" t="str">
        <f t="shared" si="3"/>
        <v/>
      </c>
      <c r="P10" s="7" t="str">
        <f t="shared" si="4"/>
        <v/>
      </c>
    </row>
    <row r="11" spans="1:16" ht="30" x14ac:dyDescent="0.25">
      <c r="A11" s="4" t="s">
        <v>21</v>
      </c>
      <c r="B11" s="2" t="s">
        <v>22</v>
      </c>
      <c r="C11" s="2" t="s">
        <v>11</v>
      </c>
      <c r="D11" s="8" t="s">
        <v>16</v>
      </c>
      <c r="E11" s="8"/>
      <c r="F11" s="8"/>
      <c r="G11" s="8"/>
      <c r="H11" s="2" t="s">
        <v>23</v>
      </c>
      <c r="I11" s="6" t="str">
        <f>TRIM(SUBSTITUTE(INDEX([1]ТУ!$A:$G,MATCH($A11,[1]ТУ!$A:$A,0),3+I$7),"*",""))</f>
        <v>Введено</v>
      </c>
      <c r="J11" s="6" t="str">
        <f>TRIM(SUBSTITUTE(INDEX([1]ТУ!$A:$G,MATCH($A11,[1]ТУ!$A:$A,0),3+J$7),"*",""))</f>
        <v/>
      </c>
      <c r="K11" s="6" t="str">
        <f>TRIM(SUBSTITUTE(INDEX([1]ТУ!$A:$G,MATCH($A11,[1]ТУ!$A:$A,0),3+K$7),"*",""))</f>
        <v/>
      </c>
      <c r="L11" s="6" t="str">
        <f>TRIM(SUBSTITUTE(INDEX([1]ТУ!$A:$G,MATCH($A11,[1]ТУ!$A:$A,0),3+L$7),"*",""))</f>
        <v/>
      </c>
      <c r="M11" s="7" t="str">
        <f t="shared" si="1"/>
        <v/>
      </c>
      <c r="N11" s="7" t="str">
        <f t="shared" si="2"/>
        <v/>
      </c>
      <c r="O11" s="7" t="str">
        <f t="shared" si="3"/>
        <v/>
      </c>
      <c r="P11" s="7" t="str">
        <f t="shared" si="4"/>
        <v/>
      </c>
    </row>
    <row r="12" spans="1:16" ht="30" x14ac:dyDescent="0.25">
      <c r="A12" s="4" t="s">
        <v>24</v>
      </c>
      <c r="B12" s="2" t="s">
        <v>25</v>
      </c>
      <c r="C12" s="2" t="s">
        <v>11</v>
      </c>
      <c r="D12" s="8" t="s">
        <v>12</v>
      </c>
      <c r="E12" s="8"/>
      <c r="F12" s="8"/>
      <c r="G12" s="8"/>
      <c r="H12" s="2" t="s">
        <v>26</v>
      </c>
      <c r="I12" s="6" t="str">
        <f>TRIM(SUBSTITUTE(INDEX([1]ТУ!$A:$G,MATCH($A12,[1]ТУ!$A:$A,0),3+I$7),"*",""))</f>
        <v>Выведено</v>
      </c>
      <c r="J12" s="6" t="str">
        <f>TRIM(SUBSTITUTE(INDEX([1]ТУ!$A:$G,MATCH($A12,[1]ТУ!$A:$A,0),3+J$7),"*",""))</f>
        <v/>
      </c>
      <c r="K12" s="6" t="str">
        <f>TRIM(SUBSTITUTE(INDEX([1]ТУ!$A:$G,MATCH($A12,[1]ТУ!$A:$A,0),3+K$7),"*",""))</f>
        <v/>
      </c>
      <c r="L12" s="6" t="str">
        <f>TRIM(SUBSTITUTE(INDEX([1]ТУ!$A:$G,MATCH($A12,[1]ТУ!$A:$A,0),3+L$7),"*",""))</f>
        <v/>
      </c>
      <c r="M12" s="7" t="str">
        <f t="shared" si="1"/>
        <v/>
      </c>
      <c r="N12" s="7" t="str">
        <f t="shared" si="2"/>
        <v/>
      </c>
      <c r="O12" s="7" t="str">
        <f t="shared" si="3"/>
        <v/>
      </c>
      <c r="P12" s="7" t="str">
        <f t="shared" si="4"/>
        <v/>
      </c>
    </row>
    <row r="13" spans="1:16" ht="30" x14ac:dyDescent="0.25">
      <c r="A13" s="4" t="s">
        <v>27</v>
      </c>
      <c r="B13" s="2" t="s">
        <v>28</v>
      </c>
      <c r="C13" s="2" t="s">
        <v>11</v>
      </c>
      <c r="D13" s="8" t="s">
        <v>12</v>
      </c>
      <c r="E13" s="8"/>
      <c r="F13" s="8"/>
      <c r="G13" s="8"/>
      <c r="H13" s="2" t="s">
        <v>29</v>
      </c>
      <c r="I13" s="6" t="str">
        <f>TRIM(SUBSTITUTE(INDEX([1]ТУ!$A:$G,MATCH($A13,[1]ТУ!$A:$A,0),3+I$7),"*",""))</f>
        <v>Выведено</v>
      </c>
      <c r="J13" s="6" t="str">
        <f>TRIM(SUBSTITUTE(INDEX([1]ТУ!$A:$G,MATCH($A13,[1]ТУ!$A:$A,0),3+J$7),"*",""))</f>
        <v/>
      </c>
      <c r="K13" s="6" t="str">
        <f>TRIM(SUBSTITUTE(INDEX([1]ТУ!$A:$G,MATCH($A13,[1]ТУ!$A:$A,0),3+K$7),"*",""))</f>
        <v/>
      </c>
      <c r="L13" s="6" t="str">
        <f>TRIM(SUBSTITUTE(INDEX([1]ТУ!$A:$G,MATCH($A13,[1]ТУ!$A:$A,0),3+L$7),"*",""))</f>
        <v/>
      </c>
      <c r="M13" s="7" t="str">
        <f t="shared" si="1"/>
        <v/>
      </c>
      <c r="N13" s="7" t="str">
        <f t="shared" si="2"/>
        <v/>
      </c>
      <c r="O13" s="7" t="str">
        <f t="shared" si="3"/>
        <v/>
      </c>
      <c r="P13" s="7" t="str">
        <f t="shared" si="4"/>
        <v/>
      </c>
    </row>
    <row r="14" spans="1:16" ht="30" x14ac:dyDescent="0.25">
      <c r="A14" s="4" t="s">
        <v>30</v>
      </c>
      <c r="B14" s="2" t="s">
        <v>31</v>
      </c>
      <c r="C14" s="2" t="s">
        <v>11</v>
      </c>
      <c r="D14" s="8" t="s">
        <v>16</v>
      </c>
      <c r="E14" s="8"/>
      <c r="F14" s="8"/>
      <c r="G14" s="8"/>
      <c r="H14" s="2" t="s">
        <v>32</v>
      </c>
      <c r="I14" s="6" t="str">
        <f>TRIM(SUBSTITUTE(INDEX([1]ТУ!$A:$G,MATCH($A14,[1]ТУ!$A:$A,0),3+I$7),"*",""))</f>
        <v>Введено</v>
      </c>
      <c r="J14" s="6" t="str">
        <f>TRIM(SUBSTITUTE(INDEX([1]ТУ!$A:$G,MATCH($A14,[1]ТУ!$A:$A,0),3+J$7),"*",""))</f>
        <v/>
      </c>
      <c r="K14" s="6" t="str">
        <f>TRIM(SUBSTITUTE(INDEX([1]ТУ!$A:$G,MATCH($A14,[1]ТУ!$A:$A,0),3+K$7),"*",""))</f>
        <v/>
      </c>
      <c r="L14" s="6" t="str">
        <f>TRIM(SUBSTITUTE(INDEX([1]ТУ!$A:$G,MATCH($A14,[1]ТУ!$A:$A,0),3+L$7),"*",""))</f>
        <v/>
      </c>
      <c r="M14" s="7" t="str">
        <f t="shared" si="1"/>
        <v/>
      </c>
      <c r="N14" s="7" t="str">
        <f t="shared" si="2"/>
        <v/>
      </c>
      <c r="O14" s="7" t="str">
        <f t="shared" si="3"/>
        <v/>
      </c>
      <c r="P14" s="7" t="str">
        <f t="shared" si="4"/>
        <v/>
      </c>
    </row>
    <row r="15" spans="1:16" ht="30" x14ac:dyDescent="0.25">
      <c r="A15" s="4" t="s">
        <v>33</v>
      </c>
      <c r="B15" s="2" t="s">
        <v>34</v>
      </c>
      <c r="C15" s="2" t="s">
        <v>11</v>
      </c>
      <c r="D15" s="8" t="s">
        <v>12</v>
      </c>
      <c r="E15" s="8"/>
      <c r="F15" s="8"/>
      <c r="G15" s="8"/>
      <c r="H15" s="2" t="s">
        <v>35</v>
      </c>
      <c r="I15" s="6" t="str">
        <f>TRIM(SUBSTITUTE(INDEX([1]ТУ!$A:$G,MATCH($A15,[1]ТУ!$A:$A,0),3+I$7),"*",""))</f>
        <v>Выведено</v>
      </c>
      <c r="J15" s="6" t="str">
        <f>TRIM(SUBSTITUTE(INDEX([1]ТУ!$A:$G,MATCH($A15,[1]ТУ!$A:$A,0),3+J$7),"*",""))</f>
        <v/>
      </c>
      <c r="K15" s="6" t="str">
        <f>TRIM(SUBSTITUTE(INDEX([1]ТУ!$A:$G,MATCH($A15,[1]ТУ!$A:$A,0),3+K$7),"*",""))</f>
        <v/>
      </c>
      <c r="L15" s="6" t="str">
        <f>TRIM(SUBSTITUTE(INDEX([1]ТУ!$A:$G,MATCH($A15,[1]ТУ!$A:$A,0),3+L$7),"*",""))</f>
        <v/>
      </c>
      <c r="M15" s="7" t="str">
        <f t="shared" si="1"/>
        <v/>
      </c>
      <c r="N15" s="7" t="str">
        <f t="shared" si="2"/>
        <v/>
      </c>
      <c r="O15" s="7" t="str">
        <f t="shared" si="3"/>
        <v/>
      </c>
      <c r="P15" s="7" t="str">
        <f t="shared" si="4"/>
        <v/>
      </c>
    </row>
    <row r="16" spans="1:16" ht="30" x14ac:dyDescent="0.25">
      <c r="A16" s="4" t="s">
        <v>36</v>
      </c>
      <c r="B16" s="2" t="s">
        <v>37</v>
      </c>
      <c r="C16" s="2" t="s">
        <v>11</v>
      </c>
      <c r="D16" s="8" t="s">
        <v>12</v>
      </c>
      <c r="E16" s="8"/>
      <c r="F16" s="8"/>
      <c r="G16" s="8"/>
      <c r="H16" s="2" t="s">
        <v>38</v>
      </c>
      <c r="I16" s="6" t="str">
        <f>TRIM(SUBSTITUTE(INDEX([1]ТУ!$A:$G,MATCH($A16,[1]ТУ!$A:$A,0),3+I$7),"*",""))</f>
        <v>Выведено</v>
      </c>
      <c r="J16" s="6" t="str">
        <f>TRIM(SUBSTITUTE(INDEX([1]ТУ!$A:$G,MATCH($A16,[1]ТУ!$A:$A,0),3+J$7),"*",""))</f>
        <v/>
      </c>
      <c r="K16" s="6" t="str">
        <f>TRIM(SUBSTITUTE(INDEX([1]ТУ!$A:$G,MATCH($A16,[1]ТУ!$A:$A,0),3+K$7),"*",""))</f>
        <v/>
      </c>
      <c r="L16" s="6" t="str">
        <f>TRIM(SUBSTITUTE(INDEX([1]ТУ!$A:$G,MATCH($A16,[1]ТУ!$A:$A,0),3+L$7),"*",""))</f>
        <v/>
      </c>
      <c r="M16" s="7" t="str">
        <f t="shared" si="1"/>
        <v/>
      </c>
      <c r="N16" s="7" t="str">
        <f t="shared" si="2"/>
        <v/>
      </c>
      <c r="O16" s="7" t="str">
        <f t="shared" si="3"/>
        <v/>
      </c>
      <c r="P16" s="7" t="str">
        <f t="shared" si="4"/>
        <v/>
      </c>
    </row>
    <row r="17" spans="1:16" ht="30" x14ac:dyDescent="0.25">
      <c r="A17" s="4" t="s">
        <v>39</v>
      </c>
      <c r="B17" s="2" t="s">
        <v>40</v>
      </c>
      <c r="C17" s="2" t="s">
        <v>11</v>
      </c>
      <c r="D17" s="8" t="s">
        <v>12</v>
      </c>
      <c r="E17" s="8"/>
      <c r="F17" s="8"/>
      <c r="G17" s="8"/>
      <c r="H17" s="2" t="s">
        <v>41</v>
      </c>
      <c r="I17" s="6" t="str">
        <f>TRIM(SUBSTITUTE(INDEX([1]ТУ!$A:$G,MATCH($A17,[1]ТУ!$A:$A,0),3+I$7),"*",""))</f>
        <v>Выведено</v>
      </c>
      <c r="J17" s="6" t="str">
        <f>TRIM(SUBSTITUTE(INDEX([1]ТУ!$A:$G,MATCH($A17,[1]ТУ!$A:$A,0),3+J$7),"*",""))</f>
        <v/>
      </c>
      <c r="K17" s="6" t="str">
        <f>TRIM(SUBSTITUTE(INDEX([1]ТУ!$A:$G,MATCH($A17,[1]ТУ!$A:$A,0),3+K$7),"*",""))</f>
        <v/>
      </c>
      <c r="L17" s="6" t="str">
        <f>TRIM(SUBSTITUTE(INDEX([1]ТУ!$A:$G,MATCH($A17,[1]ТУ!$A:$A,0),3+L$7),"*",""))</f>
        <v/>
      </c>
      <c r="M17" s="7" t="str">
        <f t="shared" si="1"/>
        <v/>
      </c>
      <c r="N17" s="7" t="str">
        <f t="shared" si="2"/>
        <v/>
      </c>
      <c r="O17" s="7" t="str">
        <f t="shared" si="3"/>
        <v/>
      </c>
      <c r="P17" s="7" t="str">
        <f t="shared" si="4"/>
        <v/>
      </c>
    </row>
    <row r="18" spans="1:16" ht="30" x14ac:dyDescent="0.25">
      <c r="A18" s="4" t="s">
        <v>42</v>
      </c>
      <c r="B18" s="2" t="s">
        <v>43</v>
      </c>
      <c r="C18" s="2" t="s">
        <v>11</v>
      </c>
      <c r="D18" s="8" t="s">
        <v>12</v>
      </c>
      <c r="E18" s="8"/>
      <c r="F18" s="8"/>
      <c r="G18" s="8"/>
      <c r="H18" s="2" t="s">
        <v>44</v>
      </c>
      <c r="I18" s="6" t="str">
        <f>TRIM(SUBSTITUTE(INDEX([1]ТУ!$A:$G,MATCH($A18,[1]ТУ!$A:$A,0),3+I$7),"*",""))</f>
        <v>Выведено</v>
      </c>
      <c r="J18" s="6" t="str">
        <f>TRIM(SUBSTITUTE(INDEX([1]ТУ!$A:$G,MATCH($A18,[1]ТУ!$A:$A,0),3+J$7),"*",""))</f>
        <v/>
      </c>
      <c r="K18" s="6" t="str">
        <f>TRIM(SUBSTITUTE(INDEX([1]ТУ!$A:$G,MATCH($A18,[1]ТУ!$A:$A,0),3+K$7),"*",""))</f>
        <v/>
      </c>
      <c r="L18" s="6" t="str">
        <f>TRIM(SUBSTITUTE(INDEX([1]ТУ!$A:$G,MATCH($A18,[1]ТУ!$A:$A,0),3+L$7),"*",""))</f>
        <v/>
      </c>
      <c r="M18" s="7" t="str">
        <f t="shared" si="1"/>
        <v/>
      </c>
      <c r="N18" s="7" t="str">
        <f t="shared" si="2"/>
        <v/>
      </c>
      <c r="O18" s="7" t="str">
        <f t="shared" si="3"/>
        <v/>
      </c>
      <c r="P18" s="7" t="str">
        <f t="shared" si="4"/>
        <v/>
      </c>
    </row>
    <row r="19" spans="1:16" ht="30" x14ac:dyDescent="0.25">
      <c r="A19" s="4" t="s">
        <v>45</v>
      </c>
      <c r="B19" s="2" t="s">
        <v>46</v>
      </c>
      <c r="C19" s="2" t="s">
        <v>11</v>
      </c>
      <c r="D19" s="8" t="s">
        <v>12</v>
      </c>
      <c r="E19" s="8"/>
      <c r="F19" s="8"/>
      <c r="G19" s="8"/>
      <c r="H19" s="2" t="s">
        <v>47</v>
      </c>
      <c r="I19" s="6" t="str">
        <f>TRIM(SUBSTITUTE(INDEX([1]ТУ!$A:$G,MATCH($A19,[1]ТУ!$A:$A,0),3+I$7),"*",""))</f>
        <v>Выведено</v>
      </c>
      <c r="J19" s="6" t="str">
        <f>TRIM(SUBSTITUTE(INDEX([1]ТУ!$A:$G,MATCH($A19,[1]ТУ!$A:$A,0),3+J$7),"*",""))</f>
        <v/>
      </c>
      <c r="K19" s="6" t="str">
        <f>TRIM(SUBSTITUTE(INDEX([1]ТУ!$A:$G,MATCH($A19,[1]ТУ!$A:$A,0),3+K$7),"*",""))</f>
        <v/>
      </c>
      <c r="L19" s="6" t="str">
        <f>TRIM(SUBSTITUTE(INDEX([1]ТУ!$A:$G,MATCH($A19,[1]ТУ!$A:$A,0),3+L$7),"*",""))</f>
        <v/>
      </c>
      <c r="M19" s="7" t="str">
        <f t="shared" si="1"/>
        <v/>
      </c>
      <c r="N19" s="7" t="str">
        <f t="shared" si="2"/>
        <v/>
      </c>
      <c r="O19" s="7" t="str">
        <f t="shared" si="3"/>
        <v/>
      </c>
      <c r="P19" s="7" t="str">
        <f t="shared" si="4"/>
        <v/>
      </c>
    </row>
    <row r="20" spans="1:16" ht="30" x14ac:dyDescent="0.25">
      <c r="A20" s="4" t="s">
        <v>48</v>
      </c>
      <c r="B20" s="2" t="s">
        <v>49</v>
      </c>
      <c r="C20" s="2" t="s">
        <v>11</v>
      </c>
      <c r="D20" s="8" t="s">
        <v>12</v>
      </c>
      <c r="E20" s="8"/>
      <c r="F20" s="8"/>
      <c r="G20" s="8"/>
      <c r="H20" s="2" t="s">
        <v>50</v>
      </c>
      <c r="I20" s="6" t="str">
        <f>TRIM(SUBSTITUTE(INDEX([1]ТУ!$A:$G,MATCH($A20,[1]ТУ!$A:$A,0),3+I$7),"*",""))</f>
        <v>Выведено</v>
      </c>
      <c r="J20" s="6" t="str">
        <f>TRIM(SUBSTITUTE(INDEX([1]ТУ!$A:$G,MATCH($A20,[1]ТУ!$A:$A,0),3+J$7),"*",""))</f>
        <v/>
      </c>
      <c r="K20" s="6" t="str">
        <f>TRIM(SUBSTITUTE(INDEX([1]ТУ!$A:$G,MATCH($A20,[1]ТУ!$A:$A,0),3+K$7),"*",""))</f>
        <v/>
      </c>
      <c r="L20" s="6" t="str">
        <f>TRIM(SUBSTITUTE(INDEX([1]ТУ!$A:$G,MATCH($A20,[1]ТУ!$A:$A,0),3+L$7),"*",""))</f>
        <v/>
      </c>
      <c r="M20" s="7" t="str">
        <f t="shared" si="1"/>
        <v/>
      </c>
      <c r="N20" s="7" t="str">
        <f t="shared" si="2"/>
        <v/>
      </c>
      <c r="O20" s="7" t="str">
        <f t="shared" si="3"/>
        <v/>
      </c>
      <c r="P20" s="7" t="str">
        <f t="shared" si="4"/>
        <v/>
      </c>
    </row>
    <row r="21" spans="1:16" ht="30" x14ac:dyDescent="0.25">
      <c r="A21" s="4" t="s">
        <v>51</v>
      </c>
      <c r="B21" s="2" t="s">
        <v>52</v>
      </c>
      <c r="C21" s="2" t="s">
        <v>11</v>
      </c>
      <c r="D21" s="8" t="s">
        <v>16</v>
      </c>
      <c r="E21" s="8"/>
      <c r="F21" s="8"/>
      <c r="G21" s="8"/>
      <c r="H21" s="2" t="s">
        <v>53</v>
      </c>
      <c r="I21" s="6" t="str">
        <f>TRIM(SUBSTITUTE(INDEX([1]ТУ!$A:$G,MATCH($A21,[1]ТУ!$A:$A,0),3+I$7),"*",""))</f>
        <v>Введено</v>
      </c>
      <c r="J21" s="6" t="str">
        <f>TRIM(SUBSTITUTE(INDEX([1]ТУ!$A:$G,MATCH($A21,[1]ТУ!$A:$A,0),3+J$7),"*",""))</f>
        <v/>
      </c>
      <c r="K21" s="6" t="str">
        <f>TRIM(SUBSTITUTE(INDEX([1]ТУ!$A:$G,MATCH($A21,[1]ТУ!$A:$A,0),3+K$7),"*",""))</f>
        <v/>
      </c>
      <c r="L21" s="6" t="str">
        <f>TRIM(SUBSTITUTE(INDEX([1]ТУ!$A:$G,MATCH($A21,[1]ТУ!$A:$A,0),3+L$7),"*",""))</f>
        <v/>
      </c>
      <c r="M21" s="7" t="str">
        <f t="shared" si="1"/>
        <v/>
      </c>
      <c r="N21" s="7" t="str">
        <f t="shared" si="2"/>
        <v/>
      </c>
      <c r="O21" s="7" t="str">
        <f t="shared" si="3"/>
        <v/>
      </c>
      <c r="P21" s="7" t="str">
        <f t="shared" si="4"/>
        <v/>
      </c>
    </row>
    <row r="22" spans="1:16" ht="30" x14ac:dyDescent="0.25">
      <c r="A22" s="4" t="s">
        <v>54</v>
      </c>
      <c r="B22" s="2" t="s">
        <v>55</v>
      </c>
      <c r="C22" s="2" t="s">
        <v>11</v>
      </c>
      <c r="D22" s="8" t="s">
        <v>16</v>
      </c>
      <c r="E22" s="8"/>
      <c r="F22" s="8"/>
      <c r="G22" s="8"/>
      <c r="H22" s="2" t="s">
        <v>56</v>
      </c>
      <c r="I22" s="6" t="str">
        <f>TRIM(SUBSTITUTE(INDEX([1]ТУ!$A:$G,MATCH($A22,[1]ТУ!$A:$A,0),3+I$7),"*",""))</f>
        <v>Введено</v>
      </c>
      <c r="J22" s="6" t="str">
        <f>TRIM(SUBSTITUTE(INDEX([1]ТУ!$A:$G,MATCH($A22,[1]ТУ!$A:$A,0),3+J$7),"*",""))</f>
        <v/>
      </c>
      <c r="K22" s="6" t="str">
        <f>TRIM(SUBSTITUTE(INDEX([1]ТУ!$A:$G,MATCH($A22,[1]ТУ!$A:$A,0),3+K$7),"*",""))</f>
        <v/>
      </c>
      <c r="L22" s="6" t="str">
        <f>TRIM(SUBSTITUTE(INDEX([1]ТУ!$A:$G,MATCH($A22,[1]ТУ!$A:$A,0),3+L$7),"*",""))</f>
        <v/>
      </c>
      <c r="M22" s="7" t="str">
        <f t="shared" si="1"/>
        <v/>
      </c>
      <c r="N22" s="7" t="str">
        <f t="shared" si="2"/>
        <v/>
      </c>
      <c r="O22" s="7" t="str">
        <f t="shared" si="3"/>
        <v/>
      </c>
      <c r="P22" s="7" t="str">
        <f t="shared" si="4"/>
        <v/>
      </c>
    </row>
    <row r="23" spans="1:16" ht="30" x14ac:dyDescent="0.25">
      <c r="A23" s="4" t="s">
        <v>57</v>
      </c>
      <c r="B23" s="2" t="s">
        <v>58</v>
      </c>
      <c r="C23" s="2" t="s">
        <v>11</v>
      </c>
      <c r="D23" s="8" t="s">
        <v>16</v>
      </c>
      <c r="E23" s="8"/>
      <c r="F23" s="8"/>
      <c r="G23" s="8"/>
      <c r="H23" s="2" t="s">
        <v>59</v>
      </c>
      <c r="I23" s="6" t="str">
        <f>TRIM(SUBSTITUTE(INDEX([1]ТУ!$A:$G,MATCH($A23,[1]ТУ!$A:$A,0),3+I$7),"*",""))</f>
        <v>Введено</v>
      </c>
      <c r="J23" s="6" t="str">
        <f>TRIM(SUBSTITUTE(INDEX([1]ТУ!$A:$G,MATCH($A23,[1]ТУ!$A:$A,0),3+J$7),"*",""))</f>
        <v/>
      </c>
      <c r="K23" s="6" t="str">
        <f>TRIM(SUBSTITUTE(INDEX([1]ТУ!$A:$G,MATCH($A23,[1]ТУ!$A:$A,0),3+K$7),"*",""))</f>
        <v/>
      </c>
      <c r="L23" s="6" t="str">
        <f>TRIM(SUBSTITUTE(INDEX([1]ТУ!$A:$G,MATCH($A23,[1]ТУ!$A:$A,0),3+L$7),"*",""))</f>
        <v/>
      </c>
      <c r="M23" s="7" t="str">
        <f t="shared" si="1"/>
        <v/>
      </c>
      <c r="N23" s="7" t="str">
        <f t="shared" si="2"/>
        <v/>
      </c>
      <c r="O23" s="7" t="str">
        <f t="shared" si="3"/>
        <v/>
      </c>
      <c r="P23" s="7" t="str">
        <f t="shared" si="4"/>
        <v/>
      </c>
    </row>
    <row r="24" spans="1:16" ht="30" x14ac:dyDescent="0.25">
      <c r="A24" s="1" t="s">
        <v>60</v>
      </c>
      <c r="B24" s="2" t="s">
        <v>61</v>
      </c>
      <c r="C24" s="2" t="s">
        <v>62</v>
      </c>
      <c r="D24" s="8" t="s">
        <v>63</v>
      </c>
      <c r="E24" s="8"/>
      <c r="F24" s="8"/>
      <c r="G24" s="8"/>
      <c r="H24" s="2" t="s">
        <v>64</v>
      </c>
      <c r="I24" s="6" t="str">
        <f>TRIM(SUBSTITUTE(INDEX([1]ТУ!$A:$G,MATCH($A24,[1]ТУ!$A:$A,0),3+I$7),"*",""))</f>
        <v>только 3 фазный</v>
      </c>
      <c r="J24" s="6" t="str">
        <f>TRIM(SUBSTITUTE(INDEX([1]ТУ!$A:$G,MATCH($A24,[1]ТУ!$A:$A,0),3+J$7),"*",""))</f>
        <v/>
      </c>
      <c r="K24" s="6" t="str">
        <f>TRIM(SUBSTITUTE(INDEX([1]ТУ!$A:$G,MATCH($A24,[1]ТУ!$A:$A,0),3+K$7),"*",""))</f>
        <v/>
      </c>
      <c r="L24" s="6" t="str">
        <f>TRIM(SUBSTITUTE(INDEX([1]ТУ!$A:$G,MATCH($A24,[1]ТУ!$A:$A,0),3+L$7),"*",""))</f>
        <v/>
      </c>
      <c r="M24" s="7" t="str">
        <f t="shared" si="1"/>
        <v/>
      </c>
      <c r="N24" s="7" t="str">
        <f t="shared" si="2"/>
        <v/>
      </c>
      <c r="O24" s="7" t="str">
        <f t="shared" si="3"/>
        <v/>
      </c>
      <c r="P24" s="7" t="str">
        <f t="shared" si="4"/>
        <v/>
      </c>
    </row>
    <row r="25" spans="1:16" ht="165" x14ac:dyDescent="0.25">
      <c r="A25" s="1" t="s">
        <v>65</v>
      </c>
      <c r="B25" s="2" t="s">
        <v>66</v>
      </c>
      <c r="C25" s="2" t="s">
        <v>67</v>
      </c>
      <c r="D25" s="8" t="s">
        <v>68</v>
      </c>
      <c r="E25" s="8"/>
      <c r="F25" s="8"/>
      <c r="G25" s="8"/>
      <c r="H25" s="2" t="s">
        <v>69</v>
      </c>
      <c r="I25" s="6" t="str">
        <f>TRIM(SUBSTITUTE(INDEX([1]ТУ!$A:$G,MATCH($A25,[1]ТУ!$A:$A,0),3+I$7),"*",""))</f>
        <v>1 АПВ-цикл</v>
      </c>
      <c r="J25" s="6" t="str">
        <f>TRIM(SUBSTITUTE(INDEX([1]ТУ!$A:$G,MATCH($A25,[1]ТУ!$A:$A,0),3+J$7),"*",""))</f>
        <v/>
      </c>
      <c r="K25" s="6" t="str">
        <f>TRIM(SUBSTITUTE(INDEX([1]ТУ!$A:$G,MATCH($A25,[1]ТУ!$A:$A,0),3+K$7),"*",""))</f>
        <v/>
      </c>
      <c r="L25" s="6" t="str">
        <f>TRIM(SUBSTITUTE(INDEX([1]ТУ!$A:$G,MATCH($A25,[1]ТУ!$A:$A,0),3+L$7),"*",""))</f>
        <v/>
      </c>
      <c r="M25" s="7" t="str">
        <f t="shared" si="1"/>
        <v/>
      </c>
      <c r="N25" s="7" t="str">
        <f t="shared" si="2"/>
        <v/>
      </c>
      <c r="O25" s="7" t="str">
        <f t="shared" si="3"/>
        <v/>
      </c>
      <c r="P25" s="7" t="str">
        <f t="shared" si="4"/>
        <v/>
      </c>
    </row>
    <row r="26" spans="1:16" ht="90" x14ac:dyDescent="0.25">
      <c r="A26" s="1" t="s">
        <v>70</v>
      </c>
      <c r="B26" s="2" t="s">
        <v>71</v>
      </c>
      <c r="C26" s="2" t="s">
        <v>72</v>
      </c>
      <c r="D26" s="8" t="s">
        <v>73</v>
      </c>
      <c r="E26" s="8"/>
      <c r="F26" s="8"/>
      <c r="G26" s="8"/>
      <c r="H26" s="2" t="s">
        <v>74</v>
      </c>
      <c r="I26" s="6" t="str">
        <f>TRIM(SUBSTITUTE(INDEX([1]ТУ!$A:$G,MATCH($A26,[1]ТУ!$A:$A,0),3+I$7),"*",""))</f>
        <v>с Отключением без времени действия</v>
      </c>
      <c r="J26" s="6" t="str">
        <f>TRIM(SUBSTITUTE(INDEX([1]ТУ!$A:$G,MATCH($A26,[1]ТУ!$A:$A,0),3+J$7),"*",""))</f>
        <v/>
      </c>
      <c r="K26" s="6" t="str">
        <f>TRIM(SUBSTITUTE(INDEX([1]ТУ!$A:$G,MATCH($A26,[1]ТУ!$A:$A,0),3+K$7),"*",""))</f>
        <v/>
      </c>
      <c r="L26" s="6" t="str">
        <f>TRIM(SUBSTITUTE(INDEX([1]ТУ!$A:$G,MATCH($A26,[1]ТУ!$A:$A,0),3+L$7),"*",""))</f>
        <v/>
      </c>
      <c r="M26" s="7" t="str">
        <f t="shared" si="1"/>
        <v/>
      </c>
      <c r="N26" s="7" t="str">
        <f t="shared" si="2"/>
        <v/>
      </c>
      <c r="O26" s="7" t="str">
        <f t="shared" si="3"/>
        <v/>
      </c>
      <c r="P26" s="7" t="str">
        <f t="shared" si="4"/>
        <v/>
      </c>
    </row>
    <row r="27" spans="1:16" ht="30" x14ac:dyDescent="0.25">
      <c r="A27" s="1" t="s">
        <v>75</v>
      </c>
      <c r="B27" s="2" t="s">
        <v>76</v>
      </c>
      <c r="C27" s="2" t="s">
        <v>11</v>
      </c>
      <c r="D27" s="8" t="s">
        <v>16</v>
      </c>
      <c r="E27" s="8"/>
      <c r="F27" s="8"/>
      <c r="G27" s="8"/>
      <c r="H27" s="2" t="s">
        <v>77</v>
      </c>
      <c r="I27" s="6" t="str">
        <f>TRIM(SUBSTITUTE(INDEX([1]ТУ!$A:$G,MATCH($A27,[1]ТУ!$A:$A,0),3+I$7),"*",""))</f>
        <v>Введено</v>
      </c>
      <c r="J27" s="6" t="str">
        <f>TRIM(SUBSTITUTE(INDEX([1]ТУ!$A:$G,MATCH($A27,[1]ТУ!$A:$A,0),3+J$7),"*",""))</f>
        <v/>
      </c>
      <c r="K27" s="6" t="str">
        <f>TRIM(SUBSTITUTE(INDEX([1]ТУ!$A:$G,MATCH($A27,[1]ТУ!$A:$A,0),3+K$7),"*",""))</f>
        <v/>
      </c>
      <c r="L27" s="6" t="str">
        <f>TRIM(SUBSTITUTE(INDEX([1]ТУ!$A:$G,MATCH($A27,[1]ТУ!$A:$A,0),3+L$7),"*",""))</f>
        <v/>
      </c>
      <c r="M27" s="7" t="str">
        <f t="shared" si="1"/>
        <v/>
      </c>
      <c r="N27" s="7" t="str">
        <f t="shared" si="2"/>
        <v/>
      </c>
      <c r="O27" s="7" t="str">
        <f t="shared" si="3"/>
        <v/>
      </c>
      <c r="P27" s="7" t="str">
        <f t="shared" si="4"/>
        <v/>
      </c>
    </row>
    <row r="28" spans="1:16" ht="17.25" x14ac:dyDescent="0.25">
      <c r="A28" s="10" t="s">
        <v>83</v>
      </c>
      <c r="B28" s="10"/>
      <c r="C28" s="10"/>
      <c r="D28" s="10"/>
      <c r="E28" s="10"/>
      <c r="F28" s="10"/>
      <c r="G28" s="10"/>
      <c r="H28" s="10"/>
      <c r="I28" s="6" t="e">
        <f>TRIM(SUBSTITUTE(INDEX([1]ТУ!$A:$G,MATCH($A28,[1]ТУ!$A:$A,0),3+I$7),"*",""))</f>
        <v>#N/A</v>
      </c>
      <c r="J28" s="6" t="e">
        <f>TRIM(SUBSTITUTE(INDEX([1]ТУ!$A:$G,MATCH($A28,[1]ТУ!$A:$A,0),3+J$7),"*",""))</f>
        <v>#N/A</v>
      </c>
      <c r="K28" s="6" t="e">
        <f>TRIM(SUBSTITUTE(INDEX([1]ТУ!$A:$G,MATCH($A28,[1]ТУ!$A:$A,0),3+K$7),"*",""))</f>
        <v>#N/A</v>
      </c>
      <c r="L28" s="6" t="e">
        <f>TRIM(SUBSTITUTE(INDEX([1]ТУ!$A:$G,MATCH($A28,[1]ТУ!$A:$A,0),3+L$7),"*",""))</f>
        <v>#N/A</v>
      </c>
      <c r="M28" s="7" t="str">
        <f t="shared" si="1"/>
        <v>!</v>
      </c>
      <c r="N28" s="7" t="str">
        <f t="shared" si="2"/>
        <v>!</v>
      </c>
      <c r="O28" s="7" t="str">
        <f t="shared" si="3"/>
        <v>!</v>
      </c>
      <c r="P28" s="7" t="str">
        <f t="shared" si="4"/>
        <v>!</v>
      </c>
    </row>
    <row r="29" spans="1:16" x14ac:dyDescent="0.25">
      <c r="A29" s="12" t="s">
        <v>84</v>
      </c>
      <c r="B29" s="12"/>
      <c r="C29" s="12"/>
      <c r="D29" s="12"/>
      <c r="E29" s="12"/>
      <c r="F29" s="12"/>
      <c r="G29" s="12"/>
      <c r="H29" s="12"/>
      <c r="I29" s="6" t="str">
        <f>TRIM(SUBSTITUTE(INDEX([1]ТУ!$A:$G,MATCH($A29,[1]ТУ!$A:$A,0),3+I$7),"*",""))</f>
        <v/>
      </c>
      <c r="J29" s="6" t="str">
        <f>TRIM(SUBSTITUTE(INDEX([1]ТУ!$A:$G,MATCH($A29,[1]ТУ!$A:$A,0),3+J$7),"*",""))</f>
        <v/>
      </c>
      <c r="K29" s="6" t="str">
        <f>TRIM(SUBSTITUTE(INDEX([1]ТУ!$A:$G,MATCH($A29,[1]ТУ!$A:$A,0),3+K$7),"*",""))</f>
        <v/>
      </c>
      <c r="L29" s="6" t="str">
        <f>TRIM(SUBSTITUTE(INDEX([1]ТУ!$A:$G,MATCH($A29,[1]ТУ!$A:$A,0),3+L$7),"*",""))</f>
        <v/>
      </c>
      <c r="M29" s="7" t="str">
        <f t="shared" si="1"/>
        <v/>
      </c>
      <c r="N29" s="7" t="str">
        <f t="shared" si="2"/>
        <v/>
      </c>
      <c r="O29" s="7" t="str">
        <f t="shared" si="3"/>
        <v/>
      </c>
      <c r="P29" s="7" t="str">
        <f t="shared" si="4"/>
        <v/>
      </c>
    </row>
    <row r="30" spans="1:16" x14ac:dyDescent="0.25">
      <c r="A30" s="11" t="s">
        <v>78</v>
      </c>
      <c r="B30" s="11" t="s">
        <v>79</v>
      </c>
      <c r="C30" s="11" t="s">
        <v>80</v>
      </c>
      <c r="D30" s="11" t="s">
        <v>81</v>
      </c>
      <c r="E30" s="11"/>
      <c r="F30" s="11"/>
      <c r="G30" s="11"/>
      <c r="H30" s="11" t="s">
        <v>82</v>
      </c>
      <c r="I30" s="6" t="str">
        <f>TRIM(SUBSTITUTE(INDEX([1]ТУ!$A:$G,MATCH($A30,[1]ТУ!$A:$A,0),3+I$7),"*",""))</f>
        <v>Задаваемый параметр</v>
      </c>
      <c r="J30" s="6" t="str">
        <f>TRIM(SUBSTITUTE(INDEX([1]ТУ!$A:$G,MATCH($A30,[1]ТУ!$A:$A,0),3+J$7),"*",""))</f>
        <v/>
      </c>
      <c r="K30" s="6" t="str">
        <f>TRIM(SUBSTITUTE(INDEX([1]ТУ!$A:$G,MATCH($A30,[1]ТУ!$A:$A,0),3+K$7),"*",""))</f>
        <v/>
      </c>
      <c r="L30" s="6" t="str">
        <f>TRIM(SUBSTITUTE(INDEX([1]ТУ!$A:$G,MATCH($A30,[1]ТУ!$A:$A,0),3+L$7),"*",""))</f>
        <v/>
      </c>
      <c r="M30" s="7" t="str">
        <f t="shared" si="1"/>
        <v/>
      </c>
      <c r="N30" s="7" t="str">
        <f t="shared" si="2"/>
        <v/>
      </c>
      <c r="O30" s="7" t="str">
        <f t="shared" si="3"/>
        <v/>
      </c>
      <c r="P30" s="7" t="str">
        <f t="shared" si="4"/>
        <v/>
      </c>
    </row>
    <row r="31" spans="1:16" x14ac:dyDescent="0.25">
      <c r="A31" s="11"/>
      <c r="B31" s="11"/>
      <c r="C31" s="11"/>
      <c r="D31" s="11"/>
      <c r="E31" s="11"/>
      <c r="F31" s="11"/>
      <c r="G31" s="11"/>
      <c r="H31" s="11"/>
      <c r="I31" s="6" t="e">
        <f>TRIM(SUBSTITUTE(INDEX([1]ТУ!$A:$G,MATCH($A31,[1]ТУ!$A:$A,0),3+I$7),"*",""))</f>
        <v>#N/A</v>
      </c>
      <c r="J31" s="6" t="e">
        <f>TRIM(SUBSTITUTE(INDEX([1]ТУ!$A:$G,MATCH($A31,[1]ТУ!$A:$A,0),3+J$7),"*",""))</f>
        <v>#N/A</v>
      </c>
      <c r="K31" s="6" t="e">
        <f>TRIM(SUBSTITUTE(INDEX([1]ТУ!$A:$G,MATCH($A31,[1]ТУ!$A:$A,0),3+K$7),"*",""))</f>
        <v>#N/A</v>
      </c>
      <c r="L31" s="6" t="e">
        <f>TRIM(SUBSTITUTE(INDEX([1]ТУ!$A:$G,MATCH($A31,[1]ТУ!$A:$A,0),3+L$7),"*",""))</f>
        <v>#N/A</v>
      </c>
      <c r="M31" s="7" t="str">
        <f t="shared" si="1"/>
        <v/>
      </c>
      <c r="N31" s="7" t="str">
        <f t="shared" si="2"/>
        <v/>
      </c>
      <c r="O31" s="7" t="str">
        <f t="shared" si="3"/>
        <v/>
      </c>
      <c r="P31" s="7" t="str">
        <f t="shared" si="4"/>
        <v/>
      </c>
    </row>
    <row r="32" spans="1:16" x14ac:dyDescent="0.25">
      <c r="A32" s="1" t="s">
        <v>85</v>
      </c>
      <c r="B32" s="2" t="s">
        <v>86</v>
      </c>
      <c r="C32" s="2" t="s">
        <v>87</v>
      </c>
      <c r="D32" s="8" t="s">
        <v>88</v>
      </c>
      <c r="E32" s="8"/>
      <c r="F32" s="8"/>
      <c r="G32" s="8"/>
      <c r="H32" s="2" t="s">
        <v>86</v>
      </c>
      <c r="I32" s="6" t="e">
        <f>TRIM(SUBSTITUTE(INDEX([1]ТУ!$A:$G,MATCH($A32,[1]ТУ!$A:$A,0),3+I$7),"*",""))</f>
        <v>#N/A</v>
      </c>
      <c r="J32" s="6" t="e">
        <f>TRIM(SUBSTITUTE(INDEX([1]ТУ!$A:$G,MATCH($A32,[1]ТУ!$A:$A,0),3+J$7),"*",""))</f>
        <v>#N/A</v>
      </c>
      <c r="K32" s="6" t="e">
        <f>TRIM(SUBSTITUTE(INDEX([1]ТУ!$A:$G,MATCH($A32,[1]ТУ!$A:$A,0),3+K$7),"*",""))</f>
        <v>#N/A</v>
      </c>
      <c r="L32" s="6" t="e">
        <f>TRIM(SUBSTITUTE(INDEX([1]ТУ!$A:$G,MATCH($A32,[1]ТУ!$A:$A,0),3+L$7),"*",""))</f>
        <v>#N/A</v>
      </c>
      <c r="M32" s="7" t="str">
        <f t="shared" si="1"/>
        <v>!</v>
      </c>
      <c r="N32" s="7" t="str">
        <f t="shared" si="2"/>
        <v>!</v>
      </c>
      <c r="O32" s="7" t="str">
        <f t="shared" si="3"/>
        <v>!</v>
      </c>
      <c r="P32" s="7" t="str">
        <f t="shared" si="4"/>
        <v>!</v>
      </c>
    </row>
    <row r="33" spans="1:16" ht="45" x14ac:dyDescent="0.25">
      <c r="A33" s="1" t="s">
        <v>89</v>
      </c>
      <c r="B33" s="2" t="s">
        <v>90</v>
      </c>
      <c r="C33" s="2" t="s">
        <v>91</v>
      </c>
      <c r="D33" s="8" t="s">
        <v>92</v>
      </c>
      <c r="E33" s="8"/>
      <c r="F33" s="8"/>
      <c r="G33" s="8"/>
      <c r="H33" s="2" t="s">
        <v>93</v>
      </c>
      <c r="I33" s="6" t="e">
        <f>TRIM(SUBSTITUTE(INDEX([1]ТУ!$A:$G,MATCH($A33,[1]ТУ!$A:$A,0),3+I$7),"*",""))</f>
        <v>#N/A</v>
      </c>
      <c r="J33" s="6" t="e">
        <f>TRIM(SUBSTITUTE(INDEX([1]ТУ!$A:$G,MATCH($A33,[1]ТУ!$A:$A,0),3+J$7),"*",""))</f>
        <v>#N/A</v>
      </c>
      <c r="K33" s="6" t="e">
        <f>TRIM(SUBSTITUTE(INDEX([1]ТУ!$A:$G,MATCH($A33,[1]ТУ!$A:$A,0),3+K$7),"*",""))</f>
        <v>#N/A</v>
      </c>
      <c r="L33" s="6" t="e">
        <f>TRIM(SUBSTITUTE(INDEX([1]ТУ!$A:$G,MATCH($A33,[1]ТУ!$A:$A,0),3+L$7),"*",""))</f>
        <v>#N/A</v>
      </c>
      <c r="M33" s="7" t="str">
        <f t="shared" si="1"/>
        <v>!</v>
      </c>
      <c r="N33" s="7" t="str">
        <f t="shared" si="2"/>
        <v>!</v>
      </c>
      <c r="O33" s="7" t="str">
        <f t="shared" si="3"/>
        <v>!</v>
      </c>
      <c r="P33" s="7" t="str">
        <f t="shared" si="4"/>
        <v>!</v>
      </c>
    </row>
    <row r="34" spans="1:16" ht="60" x14ac:dyDescent="0.25">
      <c r="A34" s="1" t="s">
        <v>94</v>
      </c>
      <c r="B34" s="2" t="s">
        <v>95</v>
      </c>
      <c r="C34" s="2" t="s">
        <v>96</v>
      </c>
      <c r="D34" s="8" t="s">
        <v>97</v>
      </c>
      <c r="E34" s="8"/>
      <c r="F34" s="8"/>
      <c r="G34" s="8"/>
      <c r="H34" s="2" t="s">
        <v>98</v>
      </c>
      <c r="I34" s="6" t="e">
        <f>TRIM(SUBSTITUTE(INDEX([1]ТУ!$A:$G,MATCH($A34,[1]ТУ!$A:$A,0),3+I$7),"*",""))</f>
        <v>#N/A</v>
      </c>
      <c r="J34" s="6" t="e">
        <f>TRIM(SUBSTITUTE(INDEX([1]ТУ!$A:$G,MATCH($A34,[1]ТУ!$A:$A,0),3+J$7),"*",""))</f>
        <v>#N/A</v>
      </c>
      <c r="K34" s="6" t="e">
        <f>TRIM(SUBSTITUTE(INDEX([1]ТУ!$A:$G,MATCH($A34,[1]ТУ!$A:$A,0),3+K$7),"*",""))</f>
        <v>#N/A</v>
      </c>
      <c r="L34" s="6" t="e">
        <f>TRIM(SUBSTITUTE(INDEX([1]ТУ!$A:$G,MATCH($A34,[1]ТУ!$A:$A,0),3+L$7),"*",""))</f>
        <v>#N/A</v>
      </c>
      <c r="M34" s="7" t="str">
        <f t="shared" si="1"/>
        <v>!</v>
      </c>
      <c r="N34" s="7" t="str">
        <f t="shared" si="2"/>
        <v>!</v>
      </c>
      <c r="O34" s="7" t="str">
        <f t="shared" si="3"/>
        <v>!</v>
      </c>
      <c r="P34" s="7" t="str">
        <f t="shared" si="4"/>
        <v>!</v>
      </c>
    </row>
    <row r="35" spans="1:16" ht="30" x14ac:dyDescent="0.25">
      <c r="A35" s="1" t="s">
        <v>99</v>
      </c>
      <c r="B35" s="2" t="s">
        <v>100</v>
      </c>
      <c r="C35" s="2" t="s">
        <v>101</v>
      </c>
      <c r="D35" s="8" t="s">
        <v>102</v>
      </c>
      <c r="E35" s="8"/>
      <c r="F35" s="8"/>
      <c r="G35" s="8"/>
      <c r="H35" s="2" t="s">
        <v>103</v>
      </c>
      <c r="I35" s="6" t="e">
        <f>TRIM(SUBSTITUTE(INDEX([1]ТУ!$A:$G,MATCH($A35,[1]ТУ!$A:$A,0),3+I$7),"*",""))</f>
        <v>#N/A</v>
      </c>
      <c r="J35" s="6" t="e">
        <f>TRIM(SUBSTITUTE(INDEX([1]ТУ!$A:$G,MATCH($A35,[1]ТУ!$A:$A,0),3+J$7),"*",""))</f>
        <v>#N/A</v>
      </c>
      <c r="K35" s="6" t="e">
        <f>TRIM(SUBSTITUTE(INDEX([1]ТУ!$A:$G,MATCH($A35,[1]ТУ!$A:$A,0),3+K$7),"*",""))</f>
        <v>#N/A</v>
      </c>
      <c r="L35" s="6" t="e">
        <f>TRIM(SUBSTITUTE(INDEX([1]ТУ!$A:$G,MATCH($A35,[1]ТУ!$A:$A,0),3+L$7),"*",""))</f>
        <v>#N/A</v>
      </c>
      <c r="M35" s="7" t="str">
        <f t="shared" si="1"/>
        <v>!</v>
      </c>
      <c r="N35" s="7" t="str">
        <f t="shared" si="2"/>
        <v>!</v>
      </c>
      <c r="O35" s="7" t="str">
        <f t="shared" si="3"/>
        <v>!</v>
      </c>
      <c r="P35" s="7" t="str">
        <f t="shared" si="4"/>
        <v>!</v>
      </c>
    </row>
    <row r="36" spans="1:16" ht="17.25" x14ac:dyDescent="0.25">
      <c r="A36" s="10" t="s">
        <v>104</v>
      </c>
      <c r="B36" s="10"/>
      <c r="C36" s="10"/>
      <c r="D36" s="10"/>
      <c r="E36" s="10"/>
      <c r="F36" s="10"/>
      <c r="G36" s="10"/>
      <c r="H36" s="10"/>
      <c r="I36" s="6" t="str">
        <f>TRIM(SUBSTITUTE(INDEX([1]ТУ!$A:$G,MATCH($A36,[1]ТУ!$A:$A,0),3+I$7),"*",""))</f>
        <v/>
      </c>
      <c r="J36" s="6" t="str">
        <f>TRIM(SUBSTITUTE(INDEX([1]ТУ!$A:$G,MATCH($A36,[1]ТУ!$A:$A,0),3+J$7),"*",""))</f>
        <v/>
      </c>
      <c r="K36" s="6" t="str">
        <f>TRIM(SUBSTITUTE(INDEX([1]ТУ!$A:$G,MATCH($A36,[1]ТУ!$A:$A,0),3+K$7),"*",""))</f>
        <v/>
      </c>
      <c r="L36" s="6" t="str">
        <f>TRIM(SUBSTITUTE(INDEX([1]ТУ!$A:$G,MATCH($A36,[1]ТУ!$A:$A,0),3+L$7),"*",""))</f>
        <v/>
      </c>
      <c r="M36" s="7" t="str">
        <f t="shared" si="1"/>
        <v/>
      </c>
      <c r="N36" s="7" t="str">
        <f t="shared" si="2"/>
        <v/>
      </c>
      <c r="O36" s="7" t="str">
        <f t="shared" si="3"/>
        <v/>
      </c>
      <c r="P36" s="7" t="str">
        <f t="shared" si="4"/>
        <v/>
      </c>
    </row>
    <row r="37" spans="1:16" x14ac:dyDescent="0.25">
      <c r="A37" s="12" t="s">
        <v>105</v>
      </c>
      <c r="B37" s="12"/>
      <c r="C37" s="12"/>
      <c r="D37" s="12"/>
      <c r="E37" s="12"/>
      <c r="F37" s="12"/>
      <c r="G37" s="12"/>
      <c r="H37" s="12"/>
      <c r="I37" s="6" t="str">
        <f>TRIM(SUBSTITUTE(INDEX([1]ТУ!$A:$G,MATCH($A37,[1]ТУ!$A:$A,0),3+I$7),"*",""))</f>
        <v/>
      </c>
      <c r="J37" s="6" t="str">
        <f>TRIM(SUBSTITUTE(INDEX([1]ТУ!$A:$G,MATCH($A37,[1]ТУ!$A:$A,0),3+J$7),"*",""))</f>
        <v/>
      </c>
      <c r="K37" s="6" t="str">
        <f>TRIM(SUBSTITUTE(INDEX([1]ТУ!$A:$G,MATCH($A37,[1]ТУ!$A:$A,0),3+K$7),"*",""))</f>
        <v/>
      </c>
      <c r="L37" s="6" t="str">
        <f>TRIM(SUBSTITUTE(INDEX([1]ТУ!$A:$G,MATCH($A37,[1]ТУ!$A:$A,0),3+L$7),"*",""))</f>
        <v/>
      </c>
      <c r="M37" s="7" t="str">
        <f t="shared" si="1"/>
        <v/>
      </c>
      <c r="N37" s="7" t="str">
        <f t="shared" si="2"/>
        <v/>
      </c>
      <c r="O37" s="7" t="str">
        <f t="shared" si="3"/>
        <v/>
      </c>
      <c r="P37" s="7" t="str">
        <f t="shared" si="4"/>
        <v/>
      </c>
    </row>
    <row r="38" spans="1:16" x14ac:dyDescent="0.25">
      <c r="A38" s="11" t="s">
        <v>78</v>
      </c>
      <c r="B38" s="11" t="s">
        <v>79</v>
      </c>
      <c r="C38" s="11" t="s">
        <v>80</v>
      </c>
      <c r="D38" s="11" t="s">
        <v>81</v>
      </c>
      <c r="E38" s="11"/>
      <c r="F38" s="11"/>
      <c r="G38" s="11"/>
      <c r="H38" s="11" t="s">
        <v>82</v>
      </c>
      <c r="I38" s="6" t="str">
        <f>TRIM(SUBSTITUTE(INDEX([1]ТУ!$A:$G,MATCH($A38,[1]ТУ!$A:$A,0),3+I$7),"*",""))</f>
        <v>Задаваемый параметр</v>
      </c>
      <c r="J38" s="6" t="str">
        <f>TRIM(SUBSTITUTE(INDEX([1]ТУ!$A:$G,MATCH($A38,[1]ТУ!$A:$A,0),3+J$7),"*",""))</f>
        <v/>
      </c>
      <c r="K38" s="6" t="str">
        <f>TRIM(SUBSTITUTE(INDEX([1]ТУ!$A:$G,MATCH($A38,[1]ТУ!$A:$A,0),3+K$7),"*",""))</f>
        <v/>
      </c>
      <c r="L38" s="6" t="str">
        <f>TRIM(SUBSTITUTE(INDEX([1]ТУ!$A:$G,MATCH($A38,[1]ТУ!$A:$A,0),3+L$7),"*",""))</f>
        <v/>
      </c>
      <c r="M38" s="7" t="str">
        <f t="shared" si="1"/>
        <v/>
      </c>
      <c r="N38" s="7" t="str">
        <f t="shared" si="2"/>
        <v/>
      </c>
      <c r="O38" s="7" t="str">
        <f t="shared" si="3"/>
        <v/>
      </c>
      <c r="P38" s="7" t="str">
        <f t="shared" si="4"/>
        <v/>
      </c>
    </row>
    <row r="39" spans="1:16" x14ac:dyDescent="0.25">
      <c r="A39" s="11"/>
      <c r="B39" s="11"/>
      <c r="C39" s="11"/>
      <c r="D39" s="11"/>
      <c r="E39" s="11"/>
      <c r="F39" s="11"/>
      <c r="G39" s="11"/>
      <c r="H39" s="11"/>
      <c r="I39" s="6" t="e">
        <f>TRIM(SUBSTITUTE(INDEX([1]ТУ!$A:$G,MATCH($A39,[1]ТУ!$A:$A,0),3+I$7),"*",""))</f>
        <v>#N/A</v>
      </c>
      <c r="J39" s="6" t="e">
        <f>TRIM(SUBSTITUTE(INDEX([1]ТУ!$A:$G,MATCH($A39,[1]ТУ!$A:$A,0),3+J$7),"*",""))</f>
        <v>#N/A</v>
      </c>
      <c r="K39" s="6" t="e">
        <f>TRIM(SUBSTITUTE(INDEX([1]ТУ!$A:$G,MATCH($A39,[1]ТУ!$A:$A,0),3+K$7),"*",""))</f>
        <v>#N/A</v>
      </c>
      <c r="L39" s="6" t="e">
        <f>TRIM(SUBSTITUTE(INDEX([1]ТУ!$A:$G,MATCH($A39,[1]ТУ!$A:$A,0),3+L$7),"*",""))</f>
        <v>#N/A</v>
      </c>
      <c r="M39" s="7" t="str">
        <f t="shared" si="1"/>
        <v/>
      </c>
      <c r="N39" s="7" t="str">
        <f t="shared" si="2"/>
        <v/>
      </c>
      <c r="O39" s="7" t="str">
        <f t="shared" si="3"/>
        <v/>
      </c>
      <c r="P39" s="7" t="str">
        <f t="shared" si="4"/>
        <v/>
      </c>
    </row>
    <row r="40" spans="1:16" x14ac:dyDescent="0.25">
      <c r="A40" s="1" t="s">
        <v>106</v>
      </c>
      <c r="B40" s="2" t="s">
        <v>107</v>
      </c>
      <c r="C40" s="2" t="s">
        <v>108</v>
      </c>
      <c r="D40" s="8" t="s">
        <v>109</v>
      </c>
      <c r="E40" s="8"/>
      <c r="F40" s="8"/>
      <c r="G40" s="8"/>
      <c r="H40" s="2" t="s">
        <v>110</v>
      </c>
      <c r="I40" s="6" t="str">
        <f>TRIM(SUBSTITUTE(INDEX([1]ТУ!$A:$G,MATCH($A40,[1]ТУ!$A:$A,0),3+I$7),"*",""))</f>
        <v>220 кВ</v>
      </c>
      <c r="J40" s="6" t="str">
        <f>TRIM(SUBSTITUTE(INDEX([1]ТУ!$A:$G,MATCH($A40,[1]ТУ!$A:$A,0),3+J$7),"*",""))</f>
        <v/>
      </c>
      <c r="K40" s="6" t="str">
        <f>TRIM(SUBSTITUTE(INDEX([1]ТУ!$A:$G,MATCH($A40,[1]ТУ!$A:$A,0),3+K$7),"*",""))</f>
        <v/>
      </c>
      <c r="L40" s="6" t="str">
        <f>TRIM(SUBSTITUTE(INDEX([1]ТУ!$A:$G,MATCH($A40,[1]ТУ!$A:$A,0),3+L$7),"*",""))</f>
        <v/>
      </c>
      <c r="M40" s="7">
        <f t="shared" si="1"/>
        <v>1</v>
      </c>
      <c r="N40" s="7" t="str">
        <f t="shared" si="2"/>
        <v/>
      </c>
      <c r="O40" s="7" t="str">
        <f t="shared" si="3"/>
        <v/>
      </c>
      <c r="P40" s="7" t="str">
        <f t="shared" si="4"/>
        <v/>
      </c>
    </row>
    <row r="41" spans="1:16" x14ac:dyDescent="0.25">
      <c r="A41" s="1" t="s">
        <v>111</v>
      </c>
      <c r="B41" s="2" t="s">
        <v>112</v>
      </c>
      <c r="C41" s="2" t="s">
        <v>113</v>
      </c>
      <c r="D41" s="8" t="s">
        <v>114</v>
      </c>
      <c r="E41" s="8"/>
      <c r="F41" s="8"/>
      <c r="G41" s="8"/>
      <c r="H41" s="2" t="s">
        <v>115</v>
      </c>
      <c r="I41" s="6" t="str">
        <f>TRIM(SUBSTITUTE(INDEX([1]ТУ!$A:$G,MATCH($A41,[1]ТУ!$A:$A,0),3+I$7),"*",""))</f>
        <v>100 В</v>
      </c>
      <c r="J41" s="6" t="str">
        <f>TRIM(SUBSTITUTE(INDEX([1]ТУ!$A:$G,MATCH($A41,[1]ТУ!$A:$A,0),3+J$7),"*",""))</f>
        <v/>
      </c>
      <c r="K41" s="6" t="str">
        <f>TRIM(SUBSTITUTE(INDEX([1]ТУ!$A:$G,MATCH($A41,[1]ТУ!$A:$A,0),3+K$7),"*",""))</f>
        <v/>
      </c>
      <c r="L41" s="6" t="str">
        <f>TRIM(SUBSTITUTE(INDEX([1]ТУ!$A:$G,MATCH($A41,[1]ТУ!$A:$A,0),3+L$7),"*",""))</f>
        <v/>
      </c>
      <c r="M41" s="7" t="str">
        <f t="shared" si="1"/>
        <v/>
      </c>
      <c r="N41" s="7" t="str">
        <f t="shared" si="2"/>
        <v/>
      </c>
      <c r="O41" s="7" t="str">
        <f t="shared" si="3"/>
        <v/>
      </c>
      <c r="P41" s="7" t="str">
        <f t="shared" si="4"/>
        <v/>
      </c>
    </row>
    <row r="42" spans="1:16" x14ac:dyDescent="0.25">
      <c r="A42" s="1" t="s">
        <v>116</v>
      </c>
      <c r="B42" s="2" t="s">
        <v>117</v>
      </c>
      <c r="C42" s="2" t="s">
        <v>118</v>
      </c>
      <c r="D42" s="8" t="s">
        <v>119</v>
      </c>
      <c r="E42" s="8"/>
      <c r="F42" s="8"/>
      <c r="G42" s="8"/>
      <c r="H42" s="2" t="s">
        <v>120</v>
      </c>
      <c r="I42" s="6" t="str">
        <f>TRIM(SUBSTITUTE(INDEX([1]ТУ!$A:$G,MATCH($A42,[1]ТУ!$A:$A,0),3+I$7),"*",""))</f>
        <v>1000 А</v>
      </c>
      <c r="J42" s="6" t="str">
        <f>TRIM(SUBSTITUTE(INDEX([1]ТУ!$A:$G,MATCH($A42,[1]ТУ!$A:$A,0),3+J$7),"*",""))</f>
        <v/>
      </c>
      <c r="K42" s="6" t="str">
        <f>TRIM(SUBSTITUTE(INDEX([1]ТУ!$A:$G,MATCH($A42,[1]ТУ!$A:$A,0),3+K$7),"*",""))</f>
        <v/>
      </c>
      <c r="L42" s="6" t="str">
        <f>TRIM(SUBSTITUTE(INDEX([1]ТУ!$A:$G,MATCH($A42,[1]ТУ!$A:$A,0),3+L$7),"*",""))</f>
        <v/>
      </c>
      <c r="M42" s="7" t="str">
        <f t="shared" si="1"/>
        <v/>
      </c>
      <c r="N42" s="7" t="str">
        <f t="shared" si="2"/>
        <v/>
      </c>
      <c r="O42" s="7" t="str">
        <f t="shared" si="3"/>
        <v/>
      </c>
      <c r="P42" s="7" t="str">
        <f t="shared" si="4"/>
        <v/>
      </c>
    </row>
    <row r="43" spans="1:16" ht="30" x14ac:dyDescent="0.25">
      <c r="A43" s="1" t="s">
        <v>121</v>
      </c>
      <c r="B43" s="2" t="s">
        <v>122</v>
      </c>
      <c r="C43" s="2" t="s">
        <v>123</v>
      </c>
      <c r="D43" s="8" t="s">
        <v>124</v>
      </c>
      <c r="E43" s="8"/>
      <c r="F43" s="8"/>
      <c r="G43" s="8"/>
      <c r="H43" s="2" t="s">
        <v>125</v>
      </c>
      <c r="I43" s="6" t="str">
        <f>TRIM(SUBSTITUTE(INDEX([1]ТУ!$A:$G,MATCH($A43,[1]ТУ!$A:$A,0),3+I$7),"*",""))</f>
        <v>1А</v>
      </c>
      <c r="J43" s="6" t="str">
        <f>TRIM(SUBSTITUTE(INDEX([1]ТУ!$A:$G,MATCH($A43,[1]ТУ!$A:$A,0),3+J$7),"*",""))</f>
        <v/>
      </c>
      <c r="K43" s="6" t="str">
        <f>TRIM(SUBSTITUTE(INDEX([1]ТУ!$A:$G,MATCH($A43,[1]ТУ!$A:$A,0),3+K$7),"*",""))</f>
        <v/>
      </c>
      <c r="L43" s="6" t="str">
        <f>TRIM(SUBSTITUTE(INDEX([1]ТУ!$A:$G,MATCH($A43,[1]ТУ!$A:$A,0),3+L$7),"*",""))</f>
        <v/>
      </c>
      <c r="M43" s="7" t="str">
        <f t="shared" si="1"/>
        <v/>
      </c>
      <c r="N43" s="7" t="str">
        <f t="shared" si="2"/>
        <v/>
      </c>
      <c r="O43" s="7" t="str">
        <f t="shared" si="3"/>
        <v/>
      </c>
      <c r="P43" s="7" t="str">
        <f t="shared" si="4"/>
        <v/>
      </c>
    </row>
    <row r="44" spans="1:16" ht="30" x14ac:dyDescent="0.25">
      <c r="A44" s="1" t="s">
        <v>126</v>
      </c>
      <c r="B44" s="2" t="s">
        <v>127</v>
      </c>
      <c r="C44" s="2" t="s">
        <v>128</v>
      </c>
      <c r="D44" s="8" t="s">
        <v>129</v>
      </c>
      <c r="E44" s="8"/>
      <c r="F44" s="8"/>
      <c r="G44" s="8"/>
      <c r="H44" s="2" t="s">
        <v>130</v>
      </c>
      <c r="I44" s="6" t="str">
        <f>TRIM(SUBSTITUTE(INDEX([1]ТУ!$A:$G,MATCH($A44,[1]ТУ!$A:$A,0),3+I$7),"*",""))</f>
        <v>50 Гц</v>
      </c>
      <c r="J44" s="6" t="str">
        <f>TRIM(SUBSTITUTE(INDEX([1]ТУ!$A:$G,MATCH($A44,[1]ТУ!$A:$A,0),3+J$7),"*",""))</f>
        <v/>
      </c>
      <c r="K44" s="6" t="str">
        <f>TRIM(SUBSTITUTE(INDEX([1]ТУ!$A:$G,MATCH($A44,[1]ТУ!$A:$A,0),3+K$7),"*",""))</f>
        <v/>
      </c>
      <c r="L44" s="6" t="str">
        <f>TRIM(SUBSTITUTE(INDEX([1]ТУ!$A:$G,MATCH($A44,[1]ТУ!$A:$A,0),3+L$7),"*",""))</f>
        <v/>
      </c>
      <c r="M44" s="7" t="str">
        <f t="shared" si="1"/>
        <v/>
      </c>
      <c r="N44" s="7" t="str">
        <f t="shared" si="2"/>
        <v/>
      </c>
      <c r="O44" s="7" t="str">
        <f t="shared" si="3"/>
        <v/>
      </c>
      <c r="P44" s="7" t="str">
        <f t="shared" si="4"/>
        <v/>
      </c>
    </row>
    <row r="45" spans="1:16" x14ac:dyDescent="0.25">
      <c r="A45" s="12" t="s">
        <v>131</v>
      </c>
      <c r="B45" s="12"/>
      <c r="C45" s="12"/>
      <c r="D45" s="12"/>
      <c r="E45" s="12"/>
      <c r="F45" s="12"/>
      <c r="G45" s="12"/>
      <c r="H45" s="12"/>
      <c r="I45" s="6" t="str">
        <f>TRIM(SUBSTITUTE(INDEX([1]ТУ!$A:$G,MATCH($A45,[1]ТУ!$A:$A,0),3+I$7),"*",""))</f>
        <v/>
      </c>
      <c r="J45" s="6" t="str">
        <f>TRIM(SUBSTITUTE(INDEX([1]ТУ!$A:$G,MATCH($A45,[1]ТУ!$A:$A,0),3+J$7),"*",""))</f>
        <v/>
      </c>
      <c r="K45" s="6" t="str">
        <f>TRIM(SUBSTITUTE(INDEX([1]ТУ!$A:$G,MATCH($A45,[1]ТУ!$A:$A,0),3+K$7),"*",""))</f>
        <v/>
      </c>
      <c r="L45" s="6" t="str">
        <f>TRIM(SUBSTITUTE(INDEX([1]ТУ!$A:$G,MATCH($A45,[1]ТУ!$A:$A,0),3+L$7),"*",""))</f>
        <v/>
      </c>
      <c r="M45" s="7" t="str">
        <f t="shared" si="1"/>
        <v/>
      </c>
      <c r="N45" s="7" t="str">
        <f t="shared" si="2"/>
        <v/>
      </c>
      <c r="O45" s="7" t="str">
        <f t="shared" si="3"/>
        <v/>
      </c>
      <c r="P45" s="7" t="str">
        <f t="shared" si="4"/>
        <v/>
      </c>
    </row>
    <row r="46" spans="1:16" x14ac:dyDescent="0.25">
      <c r="A46" s="11" t="s">
        <v>78</v>
      </c>
      <c r="B46" s="11" t="s">
        <v>79</v>
      </c>
      <c r="C46" s="11" t="s">
        <v>80</v>
      </c>
      <c r="D46" s="11" t="s">
        <v>81</v>
      </c>
      <c r="E46" s="11"/>
      <c r="F46" s="11"/>
      <c r="G46" s="11"/>
      <c r="H46" s="11" t="s">
        <v>82</v>
      </c>
      <c r="I46" s="6" t="str">
        <f>TRIM(SUBSTITUTE(INDEX([1]ТУ!$A:$G,MATCH($A46,[1]ТУ!$A:$A,0),3+I$7),"*",""))</f>
        <v>Задаваемый параметр</v>
      </c>
      <c r="J46" s="6" t="str">
        <f>TRIM(SUBSTITUTE(INDEX([1]ТУ!$A:$G,MATCH($A46,[1]ТУ!$A:$A,0),3+J$7),"*",""))</f>
        <v/>
      </c>
      <c r="K46" s="6" t="str">
        <f>TRIM(SUBSTITUTE(INDEX([1]ТУ!$A:$G,MATCH($A46,[1]ТУ!$A:$A,0),3+K$7),"*",""))</f>
        <v/>
      </c>
      <c r="L46" s="6" t="str">
        <f>TRIM(SUBSTITUTE(INDEX([1]ТУ!$A:$G,MATCH($A46,[1]ТУ!$A:$A,0),3+L$7),"*",""))</f>
        <v/>
      </c>
      <c r="M46" s="7" t="str">
        <f t="shared" si="1"/>
        <v/>
      </c>
      <c r="N46" s="7" t="str">
        <f t="shared" si="2"/>
        <v/>
      </c>
      <c r="O46" s="7" t="str">
        <f t="shared" si="3"/>
        <v/>
      </c>
      <c r="P46" s="7" t="str">
        <f t="shared" si="4"/>
        <v/>
      </c>
    </row>
    <row r="47" spans="1:16" x14ac:dyDescent="0.25">
      <c r="A47" s="11"/>
      <c r="B47" s="11"/>
      <c r="C47" s="11"/>
      <c r="D47" s="11"/>
      <c r="E47" s="11"/>
      <c r="F47" s="11"/>
      <c r="G47" s="11"/>
      <c r="H47" s="11"/>
      <c r="I47" s="6" t="e">
        <f>TRIM(SUBSTITUTE(INDEX([1]ТУ!$A:$G,MATCH($A47,[1]ТУ!$A:$A,0),3+I$7),"*",""))</f>
        <v>#N/A</v>
      </c>
      <c r="J47" s="6" t="e">
        <f>TRIM(SUBSTITUTE(INDEX([1]ТУ!$A:$G,MATCH($A47,[1]ТУ!$A:$A,0),3+J$7),"*",""))</f>
        <v>#N/A</v>
      </c>
      <c r="K47" s="6" t="e">
        <f>TRIM(SUBSTITUTE(INDEX([1]ТУ!$A:$G,MATCH($A47,[1]ТУ!$A:$A,0),3+K$7),"*",""))</f>
        <v>#N/A</v>
      </c>
      <c r="L47" s="6" t="e">
        <f>TRIM(SUBSTITUTE(INDEX([1]ТУ!$A:$G,MATCH($A47,[1]ТУ!$A:$A,0),3+L$7),"*",""))</f>
        <v>#N/A</v>
      </c>
      <c r="M47" s="7" t="str">
        <f t="shared" si="1"/>
        <v/>
      </c>
      <c r="N47" s="7" t="str">
        <f t="shared" si="2"/>
        <v/>
      </c>
      <c r="O47" s="7" t="str">
        <f t="shared" si="3"/>
        <v/>
      </c>
      <c r="P47" s="7" t="str">
        <f t="shared" si="4"/>
        <v/>
      </c>
    </row>
    <row r="48" spans="1:16" x14ac:dyDescent="0.25">
      <c r="A48" s="1" t="s">
        <v>132</v>
      </c>
      <c r="B48" s="2" t="s">
        <v>133</v>
      </c>
      <c r="C48" s="2" t="s">
        <v>134</v>
      </c>
      <c r="D48" s="8" t="s">
        <v>135</v>
      </c>
      <c r="E48" s="8"/>
      <c r="F48" s="8"/>
      <c r="G48" s="8"/>
      <c r="H48" s="2" t="s">
        <v>136</v>
      </c>
      <c r="I48" s="6" t="str">
        <f>TRIM(SUBSTITUTE(INDEX([1]ТУ!$A:$G,MATCH($A48,[1]ТУ!$A:$A,0),3+I$7),"*",""))</f>
        <v>0.1 сек</v>
      </c>
      <c r="J48" s="6" t="str">
        <f>TRIM(SUBSTITUTE(INDEX([1]ТУ!$A:$G,MATCH($A48,[1]ТУ!$A:$A,0),3+J$7),"*",""))</f>
        <v/>
      </c>
      <c r="K48" s="6" t="str">
        <f>TRIM(SUBSTITUTE(INDEX([1]ТУ!$A:$G,MATCH($A48,[1]ТУ!$A:$A,0),3+K$7),"*",""))</f>
        <v/>
      </c>
      <c r="L48" s="6" t="str">
        <f>TRIM(SUBSTITUTE(INDEX([1]ТУ!$A:$G,MATCH($A48,[1]ТУ!$A:$A,0),3+L$7),"*",""))</f>
        <v/>
      </c>
      <c r="M48" s="7">
        <f t="shared" si="1"/>
        <v>1</v>
      </c>
      <c r="N48" s="7" t="str">
        <f t="shared" si="2"/>
        <v/>
      </c>
      <c r="O48" s="7" t="str">
        <f t="shared" si="3"/>
        <v/>
      </c>
      <c r="P48" s="7" t="str">
        <f t="shared" si="4"/>
        <v/>
      </c>
    </row>
    <row r="49" spans="1:16" x14ac:dyDescent="0.25">
      <c r="A49" s="1" t="s">
        <v>137</v>
      </c>
      <c r="B49" s="2" t="s">
        <v>138</v>
      </c>
      <c r="C49" s="2" t="s">
        <v>139</v>
      </c>
      <c r="D49" s="8" t="s">
        <v>140</v>
      </c>
      <c r="E49" s="8"/>
      <c r="F49" s="8"/>
      <c r="G49" s="8"/>
      <c r="H49" s="2" t="s">
        <v>141</v>
      </c>
      <c r="I49" s="6" t="str">
        <f>TRIM(SUBSTITUTE(INDEX([1]ТУ!$A:$G,MATCH($A49,[1]ТУ!$A:$A,0),3+I$7),"*",""))</f>
        <v>0.15 сек</v>
      </c>
      <c r="J49" s="6" t="str">
        <f>TRIM(SUBSTITUTE(INDEX([1]ТУ!$A:$G,MATCH($A49,[1]ТУ!$A:$A,0),3+J$7),"*",""))</f>
        <v/>
      </c>
      <c r="K49" s="6" t="str">
        <f>TRIM(SUBSTITUTE(INDEX([1]ТУ!$A:$G,MATCH($A49,[1]ТУ!$A:$A,0),3+K$7),"*",""))</f>
        <v/>
      </c>
      <c r="L49" s="6" t="str">
        <f>TRIM(SUBSTITUTE(INDEX([1]ТУ!$A:$G,MATCH($A49,[1]ТУ!$A:$A,0),3+L$7),"*",""))</f>
        <v/>
      </c>
      <c r="M49" s="7" t="str">
        <f t="shared" si="1"/>
        <v/>
      </c>
      <c r="N49" s="7" t="str">
        <f t="shared" si="2"/>
        <v/>
      </c>
      <c r="O49" s="7" t="str">
        <f t="shared" si="3"/>
        <v/>
      </c>
      <c r="P49" s="7" t="str">
        <f t="shared" si="4"/>
        <v/>
      </c>
    </row>
    <row r="50" spans="1:16" ht="17.25" x14ac:dyDescent="0.25">
      <c r="A50" s="10" t="s">
        <v>142</v>
      </c>
      <c r="B50" s="10"/>
      <c r="C50" s="10"/>
      <c r="D50" s="10"/>
      <c r="E50" s="10"/>
      <c r="F50" s="10"/>
      <c r="G50" s="10"/>
      <c r="H50" s="10"/>
      <c r="I50" s="6" t="str">
        <f>TRIM(SUBSTITUTE(INDEX([1]ТУ!$A:$G,MATCH($A50,[1]ТУ!$A:$A,0),3+I$7),"*",""))</f>
        <v/>
      </c>
      <c r="J50" s="6" t="str">
        <f>TRIM(SUBSTITUTE(INDEX([1]ТУ!$A:$G,MATCH($A50,[1]ТУ!$A:$A,0),3+J$7),"*",""))</f>
        <v/>
      </c>
      <c r="K50" s="6" t="str">
        <f>TRIM(SUBSTITUTE(INDEX([1]ТУ!$A:$G,MATCH($A50,[1]ТУ!$A:$A,0),3+K$7),"*",""))</f>
        <v/>
      </c>
      <c r="L50" s="6" t="str">
        <f>TRIM(SUBSTITUTE(INDEX([1]ТУ!$A:$G,MATCH($A50,[1]ТУ!$A:$A,0),3+L$7),"*",""))</f>
        <v/>
      </c>
      <c r="M50" s="7" t="str">
        <f t="shared" si="1"/>
        <v/>
      </c>
      <c r="N50" s="7" t="str">
        <f t="shared" si="2"/>
        <v/>
      </c>
      <c r="O50" s="7" t="str">
        <f t="shared" si="3"/>
        <v/>
      </c>
      <c r="P50" s="7" t="str">
        <f t="shared" si="4"/>
        <v/>
      </c>
    </row>
    <row r="51" spans="1:16" x14ac:dyDescent="0.25">
      <c r="A51" s="12" t="s">
        <v>143</v>
      </c>
      <c r="B51" s="12"/>
      <c r="C51" s="12"/>
      <c r="D51" s="12"/>
      <c r="E51" s="12"/>
      <c r="F51" s="12"/>
      <c r="G51" s="12"/>
      <c r="H51" s="12"/>
      <c r="I51" s="6" t="str">
        <f>TRIM(SUBSTITUTE(INDEX([1]ТУ!$A:$G,MATCH($A51,[1]ТУ!$A:$A,0),3+I$7),"*",""))</f>
        <v/>
      </c>
      <c r="J51" s="6" t="str">
        <f>TRIM(SUBSTITUTE(INDEX([1]ТУ!$A:$G,MATCH($A51,[1]ТУ!$A:$A,0),3+J$7),"*",""))</f>
        <v/>
      </c>
      <c r="K51" s="6" t="str">
        <f>TRIM(SUBSTITUTE(INDEX([1]ТУ!$A:$G,MATCH($A51,[1]ТУ!$A:$A,0),3+K$7),"*",""))</f>
        <v/>
      </c>
      <c r="L51" s="6" t="str">
        <f>TRIM(SUBSTITUTE(INDEX([1]ТУ!$A:$G,MATCH($A51,[1]ТУ!$A:$A,0),3+L$7),"*",""))</f>
        <v/>
      </c>
      <c r="M51" s="7" t="str">
        <f t="shared" si="1"/>
        <v/>
      </c>
      <c r="N51" s="7" t="str">
        <f t="shared" si="2"/>
        <v/>
      </c>
      <c r="O51" s="7" t="str">
        <f t="shared" si="3"/>
        <v/>
      </c>
      <c r="P51" s="7" t="str">
        <f t="shared" si="4"/>
        <v/>
      </c>
    </row>
    <row r="52" spans="1:16" x14ac:dyDescent="0.25">
      <c r="A52" s="11" t="s">
        <v>78</v>
      </c>
      <c r="B52" s="11" t="s">
        <v>79</v>
      </c>
      <c r="C52" s="11" t="s">
        <v>80</v>
      </c>
      <c r="D52" s="11" t="s">
        <v>81</v>
      </c>
      <c r="E52" s="11"/>
      <c r="F52" s="11"/>
      <c r="G52" s="11"/>
      <c r="H52" s="11" t="s">
        <v>82</v>
      </c>
      <c r="I52" s="6" t="str">
        <f>TRIM(SUBSTITUTE(INDEX([1]ТУ!$A:$G,MATCH($A52,[1]ТУ!$A:$A,0),3+I$7),"*",""))</f>
        <v>Задаваемый параметр</v>
      </c>
      <c r="J52" s="6" t="str">
        <f>TRIM(SUBSTITUTE(INDEX([1]ТУ!$A:$G,MATCH($A52,[1]ТУ!$A:$A,0),3+J$7),"*",""))</f>
        <v/>
      </c>
      <c r="K52" s="6" t="str">
        <f>TRIM(SUBSTITUTE(INDEX([1]ТУ!$A:$G,MATCH($A52,[1]ТУ!$A:$A,0),3+K$7),"*",""))</f>
        <v/>
      </c>
      <c r="L52" s="6" t="str">
        <f>TRIM(SUBSTITUTE(INDEX([1]ТУ!$A:$G,MATCH($A52,[1]ТУ!$A:$A,0),3+L$7),"*",""))</f>
        <v/>
      </c>
      <c r="M52" s="7" t="str">
        <f t="shared" si="1"/>
        <v/>
      </c>
      <c r="N52" s="7" t="str">
        <f t="shared" si="2"/>
        <v/>
      </c>
      <c r="O52" s="7" t="str">
        <f t="shared" si="3"/>
        <v/>
      </c>
      <c r="P52" s="7" t="str">
        <f t="shared" si="4"/>
        <v/>
      </c>
    </row>
    <row r="53" spans="1:16" x14ac:dyDescent="0.25">
      <c r="A53" s="11"/>
      <c r="B53" s="11"/>
      <c r="C53" s="11"/>
      <c r="D53" s="11"/>
      <c r="E53" s="11"/>
      <c r="F53" s="11"/>
      <c r="G53" s="11"/>
      <c r="H53" s="11"/>
      <c r="I53" s="6" t="e">
        <f>TRIM(SUBSTITUTE(INDEX([1]ТУ!$A:$G,MATCH($A53,[1]ТУ!$A:$A,0),3+I$7),"*",""))</f>
        <v>#N/A</v>
      </c>
      <c r="J53" s="6" t="e">
        <f>TRIM(SUBSTITUTE(INDEX([1]ТУ!$A:$G,MATCH($A53,[1]ТУ!$A:$A,0),3+J$7),"*",""))</f>
        <v>#N/A</v>
      </c>
      <c r="K53" s="6" t="e">
        <f>TRIM(SUBSTITUTE(INDEX([1]ТУ!$A:$G,MATCH($A53,[1]ТУ!$A:$A,0),3+K$7),"*",""))</f>
        <v>#N/A</v>
      </c>
      <c r="L53" s="6" t="e">
        <f>TRIM(SUBSTITUTE(INDEX([1]ТУ!$A:$G,MATCH($A53,[1]ТУ!$A:$A,0),3+L$7),"*",""))</f>
        <v>#N/A</v>
      </c>
      <c r="M53" s="7" t="str">
        <f t="shared" si="1"/>
        <v/>
      </c>
      <c r="N53" s="7" t="str">
        <f t="shared" si="2"/>
        <v/>
      </c>
      <c r="O53" s="7" t="str">
        <f t="shared" si="3"/>
        <v/>
      </c>
      <c r="P53" s="7" t="str">
        <f t="shared" si="4"/>
        <v/>
      </c>
    </row>
    <row r="54" spans="1:16" ht="45" x14ac:dyDescent="0.25">
      <c r="A54" s="1" t="s">
        <v>144</v>
      </c>
      <c r="B54" s="2" t="s">
        <v>145</v>
      </c>
      <c r="C54" s="2" t="s">
        <v>146</v>
      </c>
      <c r="D54" s="8" t="s">
        <v>147</v>
      </c>
      <c r="E54" s="8"/>
      <c r="F54" s="8"/>
      <c r="G54" s="8"/>
      <c r="H54" s="2" t="s">
        <v>148</v>
      </c>
      <c r="I54" s="6" t="str">
        <f>TRIM(SUBSTITUTE(INDEX([1]ТУ!$A:$G,MATCH($A54,[1]ТУ!$A:$A,0),3+I$7),"*",""))</f>
        <v>Сохранить при пуске</v>
      </c>
      <c r="J54" s="6" t="str">
        <f>TRIM(SUBSTITUTE(INDEX([1]ТУ!$A:$G,MATCH($A54,[1]ТУ!$A:$A,0),3+J$7),"*",""))</f>
        <v/>
      </c>
      <c r="K54" s="6" t="str">
        <f>TRIM(SUBSTITUTE(INDEX([1]ТУ!$A:$G,MATCH($A54,[1]ТУ!$A:$A,0),3+K$7),"*",""))</f>
        <v/>
      </c>
      <c r="L54" s="6" t="str">
        <f>TRIM(SUBSTITUTE(INDEX([1]ТУ!$A:$G,MATCH($A54,[1]ТУ!$A:$A,0),3+L$7),"*",""))</f>
        <v/>
      </c>
      <c r="M54" s="7" t="str">
        <f t="shared" si="1"/>
        <v/>
      </c>
      <c r="N54" s="7" t="str">
        <f t="shared" si="2"/>
        <v/>
      </c>
      <c r="O54" s="7" t="str">
        <f t="shared" si="3"/>
        <v/>
      </c>
      <c r="P54" s="7" t="str">
        <f t="shared" si="4"/>
        <v/>
      </c>
    </row>
    <row r="55" spans="1:16" ht="30" x14ac:dyDescent="0.25">
      <c r="A55" s="1" t="s">
        <v>149</v>
      </c>
      <c r="B55" s="2" t="s">
        <v>150</v>
      </c>
      <c r="C55" s="2" t="s">
        <v>151</v>
      </c>
      <c r="D55" s="8" t="s">
        <v>152</v>
      </c>
      <c r="E55" s="8"/>
      <c r="F55" s="8"/>
      <c r="G55" s="8"/>
      <c r="H55" s="2" t="s">
        <v>153</v>
      </c>
      <c r="I55" s="6" t="str">
        <f>TRIM(SUBSTITUTE(INDEX([1]ТУ!$A:$G,MATCH($A55,[1]ТУ!$A:$A,0),3+I$7),"*",""))</f>
        <v>Повреждение в энергосистеме</v>
      </c>
      <c r="J55" s="6" t="str">
        <f>TRIM(SUBSTITUTE(INDEX([1]ТУ!$A:$G,MATCH($A55,[1]ТУ!$A:$A,0),3+J$7),"*",""))</f>
        <v/>
      </c>
      <c r="K55" s="6" t="str">
        <f>TRIM(SUBSTITUTE(INDEX([1]ТУ!$A:$G,MATCH($A55,[1]ТУ!$A:$A,0),3+K$7),"*",""))</f>
        <v/>
      </c>
      <c r="L55" s="6" t="str">
        <f>TRIM(SUBSTITUTE(INDEX([1]ТУ!$A:$G,MATCH($A55,[1]ТУ!$A:$A,0),3+L$7),"*",""))</f>
        <v/>
      </c>
      <c r="M55" s="7" t="str">
        <f t="shared" si="1"/>
        <v/>
      </c>
      <c r="N55" s="7" t="str">
        <f t="shared" si="2"/>
        <v/>
      </c>
      <c r="O55" s="7" t="str">
        <f t="shared" si="3"/>
        <v/>
      </c>
      <c r="P55" s="7" t="str">
        <f t="shared" si="4"/>
        <v/>
      </c>
    </row>
    <row r="56" spans="1:16" x14ac:dyDescent="0.25">
      <c r="A56" s="1" t="s">
        <v>154</v>
      </c>
      <c r="B56" s="2" t="s">
        <v>155</v>
      </c>
      <c r="C56" s="2" t="s">
        <v>156</v>
      </c>
      <c r="D56" s="13" t="s">
        <v>157</v>
      </c>
      <c r="E56" s="13"/>
      <c r="F56" s="13"/>
      <c r="G56" s="13"/>
      <c r="H56" s="2" t="s">
        <v>158</v>
      </c>
      <c r="I56" s="6" t="str">
        <f>TRIM(SUBSTITUTE(INDEX([1]ТУ!$A:$G,MATCH($A56,[1]ТУ!$A:$A,0),3+I$7),"*",""))</f>
        <v>5.0 сек</v>
      </c>
      <c r="J56" s="6" t="str">
        <f>TRIM(SUBSTITUTE(INDEX([1]ТУ!$A:$G,MATCH($A56,[1]ТУ!$A:$A,0),3+J$7),"*",""))</f>
        <v/>
      </c>
      <c r="K56" s="6" t="str">
        <f>TRIM(SUBSTITUTE(INDEX([1]ТУ!$A:$G,MATCH($A56,[1]ТУ!$A:$A,0),3+K$7),"*",""))</f>
        <v/>
      </c>
      <c r="L56" s="6" t="str">
        <f>TRIM(SUBSTITUTE(INDEX([1]ТУ!$A:$G,MATCH($A56,[1]ТУ!$A:$A,0),3+L$7),"*",""))</f>
        <v/>
      </c>
      <c r="M56" s="7">
        <f t="shared" si="1"/>
        <v>1</v>
      </c>
      <c r="N56" s="7" t="str">
        <f t="shared" si="2"/>
        <v/>
      </c>
      <c r="O56" s="7" t="str">
        <f t="shared" si="3"/>
        <v/>
      </c>
      <c r="P56" s="7" t="str">
        <f t="shared" si="4"/>
        <v/>
      </c>
    </row>
    <row r="57" spans="1:16" x14ac:dyDescent="0.25">
      <c r="A57" s="1" t="s">
        <v>159</v>
      </c>
      <c r="B57" s="2" t="s">
        <v>160</v>
      </c>
      <c r="C57" s="2" t="s">
        <v>161</v>
      </c>
      <c r="D57" s="13" t="s">
        <v>162</v>
      </c>
      <c r="E57" s="13"/>
      <c r="F57" s="13"/>
      <c r="G57" s="13"/>
      <c r="H57" s="2" t="s">
        <v>163</v>
      </c>
      <c r="I57" s="6" t="str">
        <f>TRIM(SUBSTITUTE(INDEX([1]ТУ!$A:$G,MATCH($A57,[1]ТУ!$A:$A,0),3+I$7),"*",""))</f>
        <v>0.5 сек</v>
      </c>
      <c r="J57" s="6" t="str">
        <f>TRIM(SUBSTITUTE(INDEX([1]ТУ!$A:$G,MATCH($A57,[1]ТУ!$A:$A,0),3+J$7),"*",""))</f>
        <v/>
      </c>
      <c r="K57" s="6" t="str">
        <f>TRIM(SUBSTITUTE(INDEX([1]ТУ!$A:$G,MATCH($A57,[1]ТУ!$A:$A,0),3+K$7),"*",""))</f>
        <v/>
      </c>
      <c r="L57" s="6" t="str">
        <f>TRIM(SUBSTITUTE(INDEX([1]ТУ!$A:$G,MATCH($A57,[1]ТУ!$A:$A,0),3+L$7),"*",""))</f>
        <v/>
      </c>
      <c r="M57" s="7">
        <f t="shared" si="1"/>
        <v>1</v>
      </c>
      <c r="N57" s="7" t="str">
        <f t="shared" si="2"/>
        <v/>
      </c>
      <c r="O57" s="7" t="str">
        <f t="shared" si="3"/>
        <v/>
      </c>
      <c r="P57" s="7" t="str">
        <f t="shared" si="4"/>
        <v/>
      </c>
    </row>
    <row r="58" spans="1:16" x14ac:dyDescent="0.25">
      <c r="A58" s="1" t="s">
        <v>164</v>
      </c>
      <c r="B58" s="2" t="s">
        <v>165</v>
      </c>
      <c r="C58" s="2" t="s">
        <v>161</v>
      </c>
      <c r="D58" s="13" t="s">
        <v>162</v>
      </c>
      <c r="E58" s="13"/>
      <c r="F58" s="13"/>
      <c r="G58" s="13"/>
      <c r="H58" s="2" t="s">
        <v>166</v>
      </c>
      <c r="I58" s="6" t="str">
        <f>TRIM(SUBSTITUTE(INDEX([1]ТУ!$A:$G,MATCH($A58,[1]ТУ!$A:$A,0),3+I$7),"*",""))</f>
        <v>0.5 сек</v>
      </c>
      <c r="J58" s="6" t="str">
        <f>TRIM(SUBSTITUTE(INDEX([1]ТУ!$A:$G,MATCH($A58,[1]ТУ!$A:$A,0),3+J$7),"*",""))</f>
        <v/>
      </c>
      <c r="K58" s="6" t="str">
        <f>TRIM(SUBSTITUTE(INDEX([1]ТУ!$A:$G,MATCH($A58,[1]ТУ!$A:$A,0),3+K$7),"*",""))</f>
        <v/>
      </c>
      <c r="L58" s="6" t="str">
        <f>TRIM(SUBSTITUTE(INDEX([1]ТУ!$A:$G,MATCH($A58,[1]ТУ!$A:$A,0),3+L$7),"*",""))</f>
        <v/>
      </c>
      <c r="M58" s="7">
        <f t="shared" si="1"/>
        <v>1</v>
      </c>
      <c r="N58" s="7" t="str">
        <f t="shared" si="2"/>
        <v/>
      </c>
      <c r="O58" s="7" t="str">
        <f t="shared" si="3"/>
        <v/>
      </c>
      <c r="P58" s="7" t="str">
        <f t="shared" si="4"/>
        <v/>
      </c>
    </row>
    <row r="59" spans="1:16" x14ac:dyDescent="0.25">
      <c r="A59" s="1" t="s">
        <v>167</v>
      </c>
      <c r="B59" s="2" t="s">
        <v>168</v>
      </c>
      <c r="C59" s="2" t="s">
        <v>169</v>
      </c>
      <c r="D59" s="13" t="s">
        <v>157</v>
      </c>
      <c r="E59" s="13"/>
      <c r="F59" s="13"/>
      <c r="G59" s="13"/>
      <c r="H59" s="2" t="s">
        <v>170</v>
      </c>
      <c r="I59" s="6" t="str">
        <f>TRIM(SUBSTITUTE(INDEX([1]ТУ!$A:$G,MATCH($A59,[1]ТУ!$A:$A,0),3+I$7),"*",""))</f>
        <v>5.0 сек</v>
      </c>
      <c r="J59" s="6" t="str">
        <f>TRIM(SUBSTITUTE(INDEX([1]ТУ!$A:$G,MATCH($A59,[1]ТУ!$A:$A,0),3+J$7),"*",""))</f>
        <v/>
      </c>
      <c r="K59" s="6" t="str">
        <f>TRIM(SUBSTITUTE(INDEX([1]ТУ!$A:$G,MATCH($A59,[1]ТУ!$A:$A,0),3+K$7),"*",""))</f>
        <v/>
      </c>
      <c r="L59" s="6" t="str">
        <f>TRIM(SUBSTITUTE(INDEX([1]ТУ!$A:$G,MATCH($A59,[1]ТУ!$A:$A,0),3+L$7),"*",""))</f>
        <v/>
      </c>
      <c r="M59" s="7">
        <f t="shared" si="1"/>
        <v>1</v>
      </c>
      <c r="N59" s="7" t="str">
        <f t="shared" si="2"/>
        <v/>
      </c>
      <c r="O59" s="7" t="str">
        <f t="shared" si="3"/>
        <v/>
      </c>
      <c r="P59" s="7" t="str">
        <f t="shared" si="4"/>
        <v/>
      </c>
    </row>
    <row r="60" spans="1:16" ht="17.25" x14ac:dyDescent="0.25">
      <c r="A60" s="10" t="s">
        <v>171</v>
      </c>
      <c r="B60" s="10"/>
      <c r="C60" s="10"/>
      <c r="D60" s="10"/>
      <c r="E60" s="10"/>
      <c r="F60" s="10"/>
      <c r="G60" s="10"/>
      <c r="H60" s="10"/>
      <c r="I60" s="6" t="str">
        <f>TRIM(SUBSTITUTE(INDEX([1]ТУ!$A:$G,MATCH($A60,[1]ТУ!$A:$A,0),3+I$7),"*",""))</f>
        <v/>
      </c>
      <c r="J60" s="6" t="str">
        <f>TRIM(SUBSTITUTE(INDEX([1]ТУ!$A:$G,MATCH($A60,[1]ТУ!$A:$A,0),3+J$7),"*",""))</f>
        <v/>
      </c>
      <c r="K60" s="6" t="str">
        <f>TRIM(SUBSTITUTE(INDEX([1]ТУ!$A:$G,MATCH($A60,[1]ТУ!$A:$A,0),3+K$7),"*",""))</f>
        <v/>
      </c>
      <c r="L60" s="6" t="str">
        <f>TRIM(SUBSTITUTE(INDEX([1]ТУ!$A:$G,MATCH($A60,[1]ТУ!$A:$A,0),3+L$7),"*",""))</f>
        <v/>
      </c>
      <c r="M60" s="7" t="str">
        <f t="shared" si="1"/>
        <v/>
      </c>
      <c r="N60" s="7" t="str">
        <f t="shared" si="2"/>
        <v/>
      </c>
      <c r="O60" s="7" t="str">
        <f t="shared" si="3"/>
        <v/>
      </c>
      <c r="P60" s="7" t="str">
        <f t="shared" si="4"/>
        <v/>
      </c>
    </row>
    <row r="61" spans="1:16" x14ac:dyDescent="0.25">
      <c r="A61" s="11" t="s">
        <v>78</v>
      </c>
      <c r="B61" s="11" t="s">
        <v>79</v>
      </c>
      <c r="C61" s="11" t="s">
        <v>80</v>
      </c>
      <c r="D61" s="11" t="s">
        <v>81</v>
      </c>
      <c r="E61" s="11"/>
      <c r="F61" s="11"/>
      <c r="G61" s="11"/>
      <c r="H61" s="11" t="s">
        <v>82</v>
      </c>
      <c r="I61" s="6" t="str">
        <f>TRIM(SUBSTITUTE(INDEX([1]ТУ!$A:$G,MATCH($A61,[1]ТУ!$A:$A,0),3+I$7),"*",""))</f>
        <v>Задаваемый параметр</v>
      </c>
      <c r="J61" s="6" t="str">
        <f>TRIM(SUBSTITUTE(INDEX([1]ТУ!$A:$G,MATCH($A61,[1]ТУ!$A:$A,0),3+J$7),"*",""))</f>
        <v/>
      </c>
      <c r="K61" s="6" t="str">
        <f>TRIM(SUBSTITUTE(INDEX([1]ТУ!$A:$G,MATCH($A61,[1]ТУ!$A:$A,0),3+K$7),"*",""))</f>
        <v/>
      </c>
      <c r="L61" s="6" t="str">
        <f>TRIM(SUBSTITUTE(INDEX([1]ТУ!$A:$G,MATCH($A61,[1]ТУ!$A:$A,0),3+L$7),"*",""))</f>
        <v/>
      </c>
      <c r="M61" s="7" t="str">
        <f t="shared" si="1"/>
        <v/>
      </c>
      <c r="N61" s="7" t="str">
        <f t="shared" si="2"/>
        <v/>
      </c>
      <c r="O61" s="7" t="str">
        <f t="shared" si="3"/>
        <v/>
      </c>
      <c r="P61" s="7" t="str">
        <f t="shared" si="4"/>
        <v/>
      </c>
    </row>
    <row r="62" spans="1:16" x14ac:dyDescent="0.25">
      <c r="A62" s="11"/>
      <c r="B62" s="11"/>
      <c r="C62" s="11"/>
      <c r="D62" s="11"/>
      <c r="E62" s="11"/>
      <c r="F62" s="11"/>
      <c r="G62" s="11"/>
      <c r="H62" s="11"/>
      <c r="I62" s="6" t="e">
        <f>TRIM(SUBSTITUTE(INDEX([1]ТУ!$A:$G,MATCH($A62,[1]ТУ!$A:$A,0),3+I$7),"*",""))</f>
        <v>#N/A</v>
      </c>
      <c r="J62" s="6" t="e">
        <f>TRIM(SUBSTITUTE(INDEX([1]ТУ!$A:$G,MATCH($A62,[1]ТУ!$A:$A,0),3+J$7),"*",""))</f>
        <v>#N/A</v>
      </c>
      <c r="K62" s="6" t="e">
        <f>TRIM(SUBSTITUTE(INDEX([1]ТУ!$A:$G,MATCH($A62,[1]ТУ!$A:$A,0),3+K$7),"*",""))</f>
        <v>#N/A</v>
      </c>
      <c r="L62" s="6" t="e">
        <f>TRIM(SUBSTITUTE(INDEX([1]ТУ!$A:$G,MATCH($A62,[1]ТУ!$A:$A,0),3+L$7),"*",""))</f>
        <v>#N/A</v>
      </c>
      <c r="M62" s="7" t="str">
        <f t="shared" si="1"/>
        <v/>
      </c>
      <c r="N62" s="7" t="str">
        <f t="shared" si="2"/>
        <v/>
      </c>
      <c r="O62" s="7" t="str">
        <f t="shared" si="3"/>
        <v/>
      </c>
      <c r="P62" s="7" t="str">
        <f t="shared" si="4"/>
        <v/>
      </c>
    </row>
    <row r="63" spans="1:16" x14ac:dyDescent="0.25">
      <c r="A63" s="1" t="s">
        <v>172</v>
      </c>
      <c r="B63" s="2" t="s">
        <v>173</v>
      </c>
      <c r="C63" s="2" t="s">
        <v>174</v>
      </c>
      <c r="D63" s="8" t="s">
        <v>175</v>
      </c>
      <c r="E63" s="8"/>
      <c r="F63" s="8"/>
      <c r="G63" s="8"/>
      <c r="H63" s="2" t="s">
        <v>176</v>
      </c>
      <c r="I63" s="6" t="str">
        <f>TRIM(SUBSTITUTE(INDEX([1]ТУ!$A:$G,MATCH($A63,[1]ТУ!$A:$A,0),3+I$7),"*",""))</f>
        <v>0.05 А</v>
      </c>
      <c r="J63" s="6" t="str">
        <f>TRIM(SUBSTITUTE(INDEX([1]ТУ!$A:$G,MATCH($A63,[1]ТУ!$A:$A,0),3+J$7),"*",""))</f>
        <v/>
      </c>
      <c r="K63" s="6" t="str">
        <f>TRIM(SUBSTITUTE(INDEX([1]ТУ!$A:$G,MATCH($A63,[1]ТУ!$A:$A,0),3+K$7),"*",""))</f>
        <v/>
      </c>
      <c r="L63" s="6" t="str">
        <f>TRIM(SUBSTITUTE(INDEX([1]ТУ!$A:$G,MATCH($A63,[1]ТУ!$A:$A,0),3+L$7),"*",""))</f>
        <v/>
      </c>
      <c r="M63" s="7" t="str">
        <f t="shared" si="1"/>
        <v/>
      </c>
      <c r="N63" s="7" t="str">
        <f t="shared" si="2"/>
        <v/>
      </c>
      <c r="O63" s="7" t="str">
        <f t="shared" si="3"/>
        <v/>
      </c>
      <c r="P63" s="7" t="str">
        <f t="shared" si="4"/>
        <v/>
      </c>
    </row>
    <row r="64" spans="1:16" ht="30" x14ac:dyDescent="0.25">
      <c r="A64" s="1" t="s">
        <v>177</v>
      </c>
      <c r="B64" s="2" t="s">
        <v>178</v>
      </c>
      <c r="C64" s="2" t="s">
        <v>179</v>
      </c>
      <c r="D64" s="8" t="s">
        <v>180</v>
      </c>
      <c r="E64" s="8"/>
      <c r="F64" s="8"/>
      <c r="G64" s="8"/>
      <c r="H64" s="2" t="s">
        <v>181</v>
      </c>
      <c r="I64" s="6" t="str">
        <f>TRIM(SUBSTITUTE(INDEX([1]ТУ!$A:$G,MATCH($A64,[1]ТУ!$A:$A,0),3+I$7),"*",""))</f>
        <v>Превыш порога I остаточного</v>
      </c>
      <c r="J64" s="6" t="str">
        <f>TRIM(SUBSTITUTE(INDEX([1]ТУ!$A:$G,MATCH($A64,[1]ТУ!$A:$A,0),3+J$7),"*",""))</f>
        <v/>
      </c>
      <c r="K64" s="6" t="str">
        <f>TRIM(SUBSTITUTE(INDEX([1]ТУ!$A:$G,MATCH($A64,[1]ТУ!$A:$A,0),3+K$7),"*",""))</f>
        <v/>
      </c>
      <c r="L64" s="6" t="str">
        <f>TRIM(SUBSTITUTE(INDEX([1]ТУ!$A:$G,MATCH($A64,[1]ТУ!$A:$A,0),3+L$7),"*",""))</f>
        <v/>
      </c>
      <c r="M64" s="7" t="str">
        <f t="shared" si="1"/>
        <v/>
      </c>
      <c r="N64" s="7" t="str">
        <f t="shared" si="2"/>
        <v/>
      </c>
      <c r="O64" s="7" t="str">
        <f t="shared" si="3"/>
        <v/>
      </c>
      <c r="P64" s="7" t="str">
        <f t="shared" si="4"/>
        <v/>
      </c>
    </row>
    <row r="65" spans="1:16" ht="30" x14ac:dyDescent="0.25">
      <c r="A65" s="1" t="s">
        <v>182</v>
      </c>
      <c r="B65" s="2" t="s">
        <v>183</v>
      </c>
      <c r="C65" s="2" t="s">
        <v>139</v>
      </c>
      <c r="D65" s="8" t="s">
        <v>184</v>
      </c>
      <c r="E65" s="8"/>
      <c r="F65" s="8"/>
      <c r="G65" s="8"/>
      <c r="H65" s="2" t="s">
        <v>185</v>
      </c>
      <c r="I65" s="6" t="str">
        <f>TRIM(SUBSTITUTE(INDEX([1]ТУ!$A:$G,MATCH($A65,[1]ТУ!$A:$A,0),3+I$7),"*",""))</f>
        <v>0.6 сек</v>
      </c>
      <c r="J65" s="6" t="str">
        <f>TRIM(SUBSTITUTE(INDEX([1]ТУ!$A:$G,MATCH($A65,[1]ТУ!$A:$A,0),3+J$7),"*",""))</f>
        <v/>
      </c>
      <c r="K65" s="6" t="str">
        <f>TRIM(SUBSTITUTE(INDEX([1]ТУ!$A:$G,MATCH($A65,[1]ТУ!$A:$A,0),3+K$7),"*",""))</f>
        <v/>
      </c>
      <c r="L65" s="6" t="str">
        <f>TRIM(SUBSTITUTE(INDEX([1]ТУ!$A:$G,MATCH($A65,[1]ТУ!$A:$A,0),3+L$7),"*",""))</f>
        <v/>
      </c>
      <c r="M65" s="7">
        <f t="shared" si="1"/>
        <v>1</v>
      </c>
      <c r="N65" s="7" t="str">
        <f t="shared" si="2"/>
        <v/>
      </c>
      <c r="O65" s="7" t="str">
        <f t="shared" si="3"/>
        <v/>
      </c>
      <c r="P65" s="7" t="str">
        <f t="shared" si="4"/>
        <v/>
      </c>
    </row>
    <row r="66" spans="1:16" ht="17.25" x14ac:dyDescent="0.25">
      <c r="A66" s="10" t="s">
        <v>17</v>
      </c>
      <c r="B66" s="10"/>
      <c r="C66" s="10"/>
      <c r="D66" s="10"/>
      <c r="E66" s="10"/>
      <c r="F66" s="10"/>
      <c r="G66" s="10"/>
      <c r="H66" s="10"/>
      <c r="I66" s="6" t="str">
        <f>TRIM(SUBSTITUTE(INDEX([1]ТУ!$A:$G,MATCH($A66,[1]ТУ!$A:$A,0),3+I$7),"*",""))</f>
        <v/>
      </c>
      <c r="J66" s="6" t="str">
        <f>TRIM(SUBSTITUTE(INDEX([1]ТУ!$A:$G,MATCH($A66,[1]ТУ!$A:$A,0),3+J$7),"*",""))</f>
        <v/>
      </c>
      <c r="K66" s="6" t="str">
        <f>TRIM(SUBSTITUTE(INDEX([1]ТУ!$A:$G,MATCH($A66,[1]ТУ!$A:$A,0),3+K$7),"*",""))</f>
        <v/>
      </c>
      <c r="L66" s="6" t="str">
        <f>TRIM(SUBSTITUTE(INDEX([1]ТУ!$A:$G,MATCH($A66,[1]ТУ!$A:$A,0),3+L$7),"*",""))</f>
        <v/>
      </c>
      <c r="M66" s="7" t="str">
        <f t="shared" si="1"/>
        <v/>
      </c>
      <c r="N66" s="7" t="str">
        <f t="shared" si="2"/>
        <v/>
      </c>
      <c r="O66" s="7" t="str">
        <f t="shared" si="3"/>
        <v/>
      </c>
      <c r="P66" s="7" t="str">
        <f t="shared" si="4"/>
        <v/>
      </c>
    </row>
    <row r="67" spans="1:16" x14ac:dyDescent="0.25">
      <c r="A67" s="12" t="s">
        <v>84</v>
      </c>
      <c r="B67" s="12"/>
      <c r="C67" s="12"/>
      <c r="D67" s="12"/>
      <c r="E67" s="12"/>
      <c r="F67" s="12"/>
      <c r="G67" s="12"/>
      <c r="H67" s="12"/>
      <c r="I67" s="6" t="str">
        <f>TRIM(SUBSTITUTE(INDEX([1]ТУ!$A:$G,MATCH($A67,[1]ТУ!$A:$A,0),3+I$7),"*",""))</f>
        <v/>
      </c>
      <c r="J67" s="6" t="str">
        <f>TRIM(SUBSTITUTE(INDEX([1]ТУ!$A:$G,MATCH($A67,[1]ТУ!$A:$A,0),3+J$7),"*",""))</f>
        <v/>
      </c>
      <c r="K67" s="6" t="str">
        <f>TRIM(SUBSTITUTE(INDEX([1]ТУ!$A:$G,MATCH($A67,[1]ТУ!$A:$A,0),3+K$7),"*",""))</f>
        <v/>
      </c>
      <c r="L67" s="6" t="str">
        <f>TRIM(SUBSTITUTE(INDEX([1]ТУ!$A:$G,MATCH($A67,[1]ТУ!$A:$A,0),3+L$7),"*",""))</f>
        <v/>
      </c>
      <c r="M67" s="7" t="str">
        <f t="shared" si="1"/>
        <v/>
      </c>
      <c r="N67" s="7" t="str">
        <f t="shared" si="2"/>
        <v/>
      </c>
      <c r="O67" s="7" t="str">
        <f t="shared" si="3"/>
        <v/>
      </c>
      <c r="P67" s="7" t="str">
        <f t="shared" si="4"/>
        <v/>
      </c>
    </row>
    <row r="68" spans="1:16" x14ac:dyDescent="0.25">
      <c r="A68" s="11" t="s">
        <v>78</v>
      </c>
      <c r="B68" s="11" t="s">
        <v>79</v>
      </c>
      <c r="C68" s="11" t="s">
        <v>80</v>
      </c>
      <c r="D68" s="11" t="s">
        <v>81</v>
      </c>
      <c r="E68" s="11"/>
      <c r="F68" s="11"/>
      <c r="G68" s="11"/>
      <c r="H68" s="11" t="s">
        <v>82</v>
      </c>
      <c r="I68" s="6" t="str">
        <f>TRIM(SUBSTITUTE(INDEX([1]ТУ!$A:$G,MATCH($A68,[1]ТУ!$A:$A,0),3+I$7),"*",""))</f>
        <v>Задаваемый параметр</v>
      </c>
      <c r="J68" s="6" t="str">
        <f>TRIM(SUBSTITUTE(INDEX([1]ТУ!$A:$G,MATCH($A68,[1]ТУ!$A:$A,0),3+J$7),"*",""))</f>
        <v/>
      </c>
      <c r="K68" s="6" t="str">
        <f>TRIM(SUBSTITUTE(INDEX([1]ТУ!$A:$G,MATCH($A68,[1]ТУ!$A:$A,0),3+K$7),"*",""))</f>
        <v/>
      </c>
      <c r="L68" s="6" t="str">
        <f>TRIM(SUBSTITUTE(INDEX([1]ТУ!$A:$G,MATCH($A68,[1]ТУ!$A:$A,0),3+L$7),"*",""))</f>
        <v/>
      </c>
      <c r="M68" s="7" t="str">
        <f t="shared" si="1"/>
        <v/>
      </c>
      <c r="N68" s="7" t="str">
        <f t="shared" si="2"/>
        <v/>
      </c>
      <c r="O68" s="7" t="str">
        <f t="shared" si="3"/>
        <v/>
      </c>
      <c r="P68" s="7" t="str">
        <f t="shared" si="4"/>
        <v/>
      </c>
    </row>
    <row r="69" spans="1:16" x14ac:dyDescent="0.25">
      <c r="A69" s="11"/>
      <c r="B69" s="11"/>
      <c r="C69" s="11"/>
      <c r="D69" s="11"/>
      <c r="E69" s="11"/>
      <c r="F69" s="11"/>
      <c r="G69" s="11"/>
      <c r="H69" s="11"/>
      <c r="I69" s="6" t="e">
        <f>TRIM(SUBSTITUTE(INDEX([1]ТУ!$A:$G,MATCH($A69,[1]ТУ!$A:$A,0),3+I$7),"*",""))</f>
        <v>#N/A</v>
      </c>
      <c r="J69" s="6" t="e">
        <f>TRIM(SUBSTITUTE(INDEX([1]ТУ!$A:$G,MATCH($A69,[1]ТУ!$A:$A,0),3+J$7),"*",""))</f>
        <v>#N/A</v>
      </c>
      <c r="K69" s="6" t="e">
        <f>TRIM(SUBSTITUTE(INDEX([1]ТУ!$A:$G,MATCH($A69,[1]ТУ!$A:$A,0),3+K$7),"*",""))</f>
        <v>#N/A</v>
      </c>
      <c r="L69" s="6" t="e">
        <f>TRIM(SUBSTITUTE(INDEX([1]ТУ!$A:$G,MATCH($A69,[1]ТУ!$A:$A,0),3+L$7),"*",""))</f>
        <v>#N/A</v>
      </c>
      <c r="M69" s="7" t="str">
        <f t="shared" si="1"/>
        <v/>
      </c>
      <c r="N69" s="7" t="str">
        <f t="shared" si="2"/>
        <v/>
      </c>
      <c r="O69" s="7" t="str">
        <f t="shared" si="3"/>
        <v/>
      </c>
      <c r="P69" s="7" t="str">
        <f t="shared" si="4"/>
        <v/>
      </c>
    </row>
    <row r="70" spans="1:16" ht="30" x14ac:dyDescent="0.25">
      <c r="A70" s="4" t="s">
        <v>186</v>
      </c>
      <c r="B70" s="2" t="s">
        <v>187</v>
      </c>
      <c r="C70" s="2" t="s">
        <v>188</v>
      </c>
      <c r="D70" s="8" t="s">
        <v>189</v>
      </c>
      <c r="E70" s="8"/>
      <c r="F70" s="8"/>
      <c r="G70" s="8"/>
      <c r="H70" s="2" t="s">
        <v>190</v>
      </c>
      <c r="I70" s="6" t="str">
        <f>TRIM(SUBSTITUTE(INDEX([1]ТУ!$A:$G,MATCH($A70,[1]ТУ!$A:$A,0),3+I$7),"*",""))</f>
        <v>100 В</v>
      </c>
      <c r="J70" s="6" t="str">
        <f>TRIM(SUBSTITUTE(INDEX([1]ТУ!$A:$G,MATCH($A70,[1]ТУ!$A:$A,0),3+J$7),"*",""))</f>
        <v/>
      </c>
      <c r="K70" s="6" t="str">
        <f>TRIM(SUBSTITUTE(INDEX([1]ТУ!$A:$G,MATCH($A70,[1]ТУ!$A:$A,0),3+K$7),"*",""))</f>
        <v/>
      </c>
      <c r="L70" s="6" t="str">
        <f>TRIM(SUBSTITUTE(INDEX([1]ТУ!$A:$G,MATCH($A70,[1]ТУ!$A:$A,0),3+L$7),"*",""))</f>
        <v/>
      </c>
      <c r="M70" s="7">
        <f t="shared" si="1"/>
        <v>1</v>
      </c>
      <c r="N70" s="7" t="str">
        <f t="shared" si="2"/>
        <v/>
      </c>
      <c r="O70" s="7" t="str">
        <f t="shared" si="3"/>
        <v/>
      </c>
      <c r="P70" s="7" t="str">
        <f t="shared" si="4"/>
        <v/>
      </c>
    </row>
    <row r="71" spans="1:16" ht="17.25" x14ac:dyDescent="0.25">
      <c r="A71" s="10" t="s">
        <v>23</v>
      </c>
      <c r="B71" s="10"/>
      <c r="C71" s="10"/>
      <c r="D71" s="10"/>
      <c r="E71" s="10"/>
      <c r="F71" s="10"/>
      <c r="G71" s="10"/>
      <c r="H71" s="10"/>
      <c r="I71" s="6" t="str">
        <f>TRIM(SUBSTITUTE(INDEX([1]ТУ!$A:$G,MATCH($A71,[1]ТУ!$A:$A,0),3+I$7),"*",""))</f>
        <v/>
      </c>
      <c r="J71" s="6" t="str">
        <f>TRIM(SUBSTITUTE(INDEX([1]ТУ!$A:$G,MATCH($A71,[1]ТУ!$A:$A,0),3+J$7),"*",""))</f>
        <v/>
      </c>
      <c r="K71" s="6" t="str">
        <f>TRIM(SUBSTITUTE(INDEX([1]ТУ!$A:$G,MATCH($A71,[1]ТУ!$A:$A,0),3+K$7),"*",""))</f>
        <v/>
      </c>
      <c r="L71" s="6" t="str">
        <f>TRIM(SUBSTITUTE(INDEX([1]ТУ!$A:$G,MATCH($A71,[1]ТУ!$A:$A,0),3+L$7),"*",""))</f>
        <v/>
      </c>
      <c r="M71" s="7" t="str">
        <f t="shared" si="1"/>
        <v/>
      </c>
      <c r="N71" s="7" t="str">
        <f t="shared" si="2"/>
        <v/>
      </c>
      <c r="O71" s="7" t="str">
        <f t="shared" si="3"/>
        <v/>
      </c>
      <c r="P71" s="7" t="str">
        <f t="shared" si="4"/>
        <v/>
      </c>
    </row>
    <row r="72" spans="1:16" x14ac:dyDescent="0.25">
      <c r="A72" s="12" t="s">
        <v>84</v>
      </c>
      <c r="B72" s="12"/>
      <c r="C72" s="12"/>
      <c r="D72" s="12"/>
      <c r="E72" s="12"/>
      <c r="F72" s="12"/>
      <c r="G72" s="12"/>
      <c r="H72" s="12"/>
      <c r="I72" s="6" t="str">
        <f>TRIM(SUBSTITUTE(INDEX([1]ТУ!$A:$G,MATCH($A72,[1]ТУ!$A:$A,0),3+I$7),"*",""))</f>
        <v/>
      </c>
      <c r="J72" s="6" t="str">
        <f>TRIM(SUBSTITUTE(INDEX([1]ТУ!$A:$G,MATCH($A72,[1]ТУ!$A:$A,0),3+J$7),"*",""))</f>
        <v/>
      </c>
      <c r="K72" s="6" t="str">
        <f>TRIM(SUBSTITUTE(INDEX([1]ТУ!$A:$G,MATCH($A72,[1]ТУ!$A:$A,0),3+K$7),"*",""))</f>
        <v/>
      </c>
      <c r="L72" s="6" t="str">
        <f>TRIM(SUBSTITUTE(INDEX([1]ТУ!$A:$G,MATCH($A72,[1]ТУ!$A:$A,0),3+L$7),"*",""))</f>
        <v/>
      </c>
      <c r="M72" s="7" t="str">
        <f t="shared" si="1"/>
        <v/>
      </c>
      <c r="N72" s="7" t="str">
        <f t="shared" si="2"/>
        <v/>
      </c>
      <c r="O72" s="7" t="str">
        <f t="shared" si="3"/>
        <v/>
      </c>
      <c r="P72" s="7" t="str">
        <f t="shared" si="4"/>
        <v/>
      </c>
    </row>
    <row r="73" spans="1:16" x14ac:dyDescent="0.25">
      <c r="A73" s="11" t="s">
        <v>78</v>
      </c>
      <c r="B73" s="11" t="s">
        <v>79</v>
      </c>
      <c r="C73" s="11" t="s">
        <v>80</v>
      </c>
      <c r="D73" s="11" t="s">
        <v>81</v>
      </c>
      <c r="E73" s="11"/>
      <c r="F73" s="11"/>
      <c r="G73" s="11"/>
      <c r="H73" s="11" t="s">
        <v>82</v>
      </c>
      <c r="I73" s="6" t="str">
        <f>TRIM(SUBSTITUTE(INDEX([1]ТУ!$A:$G,MATCH($A73,[1]ТУ!$A:$A,0),3+I$7),"*",""))</f>
        <v>Задаваемый параметр</v>
      </c>
      <c r="J73" s="6" t="str">
        <f>TRIM(SUBSTITUTE(INDEX([1]ТУ!$A:$G,MATCH($A73,[1]ТУ!$A:$A,0),3+J$7),"*",""))</f>
        <v/>
      </c>
      <c r="K73" s="6" t="str">
        <f>TRIM(SUBSTITUTE(INDEX([1]ТУ!$A:$G,MATCH($A73,[1]ТУ!$A:$A,0),3+K$7),"*",""))</f>
        <v/>
      </c>
      <c r="L73" s="6" t="str">
        <f>TRIM(SUBSTITUTE(INDEX([1]ТУ!$A:$G,MATCH($A73,[1]ТУ!$A:$A,0),3+L$7),"*",""))</f>
        <v/>
      </c>
      <c r="M73" s="7" t="str">
        <f t="shared" ref="M73:M136" si="5">IF($A73&lt;&gt;"",IFERROR(IF(SUBSTITUTE(D73,",",".")&lt;&gt;SUBSTITUTE(SUBSTITUTE(I73,",","."),"∞","oo"),1,""),"!"),"")</f>
        <v/>
      </c>
      <c r="N73" s="7" t="str">
        <f t="shared" ref="N73:N136" si="6">IF($A73&lt;&gt;"",IFERROR(IF(SUBSTITUTE(E73,",",".")&lt;&gt;SUBSTITUTE(SUBSTITUTE(J73,",","."),"∞","oo"),1,""),"!"),"")</f>
        <v/>
      </c>
      <c r="O73" s="7" t="str">
        <f t="shared" ref="O73:O136" si="7">IF($A73&lt;&gt;"",IFERROR(IF(SUBSTITUTE(F73,",",".")&lt;&gt;SUBSTITUTE(SUBSTITUTE(K73,",","."),"∞","oo"),1,""),"!"),"")</f>
        <v/>
      </c>
      <c r="P73" s="7" t="str">
        <f t="shared" ref="P73:P136" si="8">IF($A73&lt;&gt;"",IFERROR(IF(SUBSTITUTE(G73,",",".")&lt;&gt;SUBSTITUTE(SUBSTITUTE(L73,",","."),"∞","oo"),1,""),"!"),"")</f>
        <v/>
      </c>
    </row>
    <row r="74" spans="1:16" x14ac:dyDescent="0.25">
      <c r="A74" s="11"/>
      <c r="B74" s="11"/>
      <c r="C74" s="11"/>
      <c r="D74" s="11"/>
      <c r="E74" s="11"/>
      <c r="F74" s="11"/>
      <c r="G74" s="11"/>
      <c r="H74" s="11"/>
      <c r="I74" s="6" t="e">
        <f>TRIM(SUBSTITUTE(INDEX([1]ТУ!$A:$G,MATCH($A74,[1]ТУ!$A:$A,0),3+I$7),"*",""))</f>
        <v>#N/A</v>
      </c>
      <c r="J74" s="6" t="e">
        <f>TRIM(SUBSTITUTE(INDEX([1]ТУ!$A:$G,MATCH($A74,[1]ТУ!$A:$A,0),3+J$7),"*",""))</f>
        <v>#N/A</v>
      </c>
      <c r="K74" s="6" t="e">
        <f>TRIM(SUBSTITUTE(INDEX([1]ТУ!$A:$G,MATCH($A74,[1]ТУ!$A:$A,0),3+K$7),"*",""))</f>
        <v>#N/A</v>
      </c>
      <c r="L74" s="6" t="e">
        <f>TRIM(SUBSTITUTE(INDEX([1]ТУ!$A:$G,MATCH($A74,[1]ТУ!$A:$A,0),3+L$7),"*",""))</f>
        <v>#N/A</v>
      </c>
      <c r="M74" s="7" t="str">
        <f t="shared" si="5"/>
        <v/>
      </c>
      <c r="N74" s="7" t="str">
        <f t="shared" si="6"/>
        <v/>
      </c>
      <c r="O74" s="7" t="str">
        <f t="shared" si="7"/>
        <v/>
      </c>
      <c r="P74" s="7" t="str">
        <f t="shared" si="8"/>
        <v/>
      </c>
    </row>
    <row r="75" spans="1:16" ht="30" x14ac:dyDescent="0.25">
      <c r="A75" s="4" t="s">
        <v>191</v>
      </c>
      <c r="B75" s="2" t="s">
        <v>187</v>
      </c>
      <c r="C75" s="2" t="s">
        <v>188</v>
      </c>
      <c r="D75" s="8" t="s">
        <v>189</v>
      </c>
      <c r="E75" s="8"/>
      <c r="F75" s="8"/>
      <c r="G75" s="8"/>
      <c r="H75" s="2" t="s">
        <v>190</v>
      </c>
      <c r="I75" s="6" t="str">
        <f>TRIM(SUBSTITUTE(INDEX([1]ТУ!$A:$G,MATCH($A75,[1]ТУ!$A:$A,0),3+I$7),"*",""))</f>
        <v>100 В</v>
      </c>
      <c r="J75" s="6" t="str">
        <f>TRIM(SUBSTITUTE(INDEX([1]ТУ!$A:$G,MATCH($A75,[1]ТУ!$A:$A,0),3+J$7),"*",""))</f>
        <v/>
      </c>
      <c r="K75" s="6" t="str">
        <f>TRIM(SUBSTITUTE(INDEX([1]ТУ!$A:$G,MATCH($A75,[1]ТУ!$A:$A,0),3+K$7),"*",""))</f>
        <v/>
      </c>
      <c r="L75" s="6" t="str">
        <f>TRIM(SUBSTITUTE(INDEX([1]ТУ!$A:$G,MATCH($A75,[1]ТУ!$A:$A,0),3+L$7),"*",""))</f>
        <v/>
      </c>
      <c r="M75" s="7">
        <f t="shared" si="5"/>
        <v>1</v>
      </c>
      <c r="N75" s="7" t="str">
        <f t="shared" si="6"/>
        <v/>
      </c>
      <c r="O75" s="7" t="str">
        <f t="shared" si="7"/>
        <v/>
      </c>
      <c r="P75" s="7" t="str">
        <f t="shared" si="8"/>
        <v/>
      </c>
    </row>
    <row r="76" spans="1:16" x14ac:dyDescent="0.25">
      <c r="A76" s="4" t="s">
        <v>192</v>
      </c>
      <c r="B76" s="2" t="s">
        <v>193</v>
      </c>
      <c r="C76" s="2" t="s">
        <v>194</v>
      </c>
      <c r="D76" s="8" t="s">
        <v>195</v>
      </c>
      <c r="E76" s="8"/>
      <c r="F76" s="8"/>
      <c r="G76" s="8"/>
      <c r="H76" s="2" t="s">
        <v>196</v>
      </c>
      <c r="I76" s="6" t="str">
        <f>TRIM(SUBSTITUTE(INDEX([1]ТУ!$A:$G,MATCH($A76,[1]ТУ!$A:$A,0),3+I$7),"*",""))</f>
        <v>1 А</v>
      </c>
      <c r="J76" s="6" t="str">
        <f>TRIM(SUBSTITUTE(INDEX([1]ТУ!$A:$G,MATCH($A76,[1]ТУ!$A:$A,0),3+J$7),"*",""))</f>
        <v/>
      </c>
      <c r="K76" s="6" t="str">
        <f>TRIM(SUBSTITUTE(INDEX([1]ТУ!$A:$G,MATCH($A76,[1]ТУ!$A:$A,0),3+K$7),"*",""))</f>
        <v/>
      </c>
      <c r="L76" s="6" t="str">
        <f>TRIM(SUBSTITUTE(INDEX([1]ТУ!$A:$G,MATCH($A76,[1]ТУ!$A:$A,0),3+L$7),"*",""))</f>
        <v/>
      </c>
      <c r="M76" s="7">
        <f t="shared" si="5"/>
        <v>1</v>
      </c>
      <c r="N76" s="7" t="str">
        <f t="shared" si="6"/>
        <v/>
      </c>
      <c r="O76" s="7" t="str">
        <f t="shared" si="7"/>
        <v/>
      </c>
      <c r="P76" s="7" t="str">
        <f t="shared" si="8"/>
        <v/>
      </c>
    </row>
    <row r="77" spans="1:16" ht="17.25" x14ac:dyDescent="0.25">
      <c r="A77" s="10" t="s">
        <v>32</v>
      </c>
      <c r="B77" s="10"/>
      <c r="C77" s="10"/>
      <c r="D77" s="10"/>
      <c r="E77" s="10"/>
      <c r="F77" s="10"/>
      <c r="G77" s="10"/>
      <c r="H77" s="10"/>
      <c r="I77" s="6" t="str">
        <f>TRIM(SUBSTITUTE(INDEX([1]ТУ!$A:$G,MATCH($A77,[1]ТУ!$A:$A,0),3+I$7),"*",""))</f>
        <v/>
      </c>
      <c r="J77" s="6" t="str">
        <f>TRIM(SUBSTITUTE(INDEX([1]ТУ!$A:$G,MATCH($A77,[1]ТУ!$A:$A,0),3+J$7),"*",""))</f>
        <v/>
      </c>
      <c r="K77" s="6" t="str">
        <f>TRIM(SUBSTITUTE(INDEX([1]ТУ!$A:$G,MATCH($A77,[1]ТУ!$A:$A,0),3+K$7),"*",""))</f>
        <v/>
      </c>
      <c r="L77" s="6" t="str">
        <f>TRIM(SUBSTITUTE(INDEX([1]ТУ!$A:$G,MATCH($A77,[1]ТУ!$A:$A,0),3+L$7),"*",""))</f>
        <v/>
      </c>
      <c r="M77" s="7" t="str">
        <f t="shared" si="5"/>
        <v/>
      </c>
      <c r="N77" s="7" t="str">
        <f t="shared" si="6"/>
        <v/>
      </c>
      <c r="O77" s="7" t="str">
        <f t="shared" si="7"/>
        <v/>
      </c>
      <c r="P77" s="7" t="str">
        <f t="shared" si="8"/>
        <v/>
      </c>
    </row>
    <row r="78" spans="1:16" x14ac:dyDescent="0.25">
      <c r="A78" s="12" t="s">
        <v>84</v>
      </c>
      <c r="B78" s="12"/>
      <c r="C78" s="12"/>
      <c r="D78" s="12"/>
      <c r="E78" s="12"/>
      <c r="F78" s="12"/>
      <c r="G78" s="12"/>
      <c r="H78" s="12"/>
      <c r="I78" s="6" t="str">
        <f>TRIM(SUBSTITUTE(INDEX([1]ТУ!$A:$G,MATCH($A78,[1]ТУ!$A:$A,0),3+I$7),"*",""))</f>
        <v/>
      </c>
      <c r="J78" s="6" t="str">
        <f>TRIM(SUBSTITUTE(INDEX([1]ТУ!$A:$G,MATCH($A78,[1]ТУ!$A:$A,0),3+J$7),"*",""))</f>
        <v/>
      </c>
      <c r="K78" s="6" t="str">
        <f>TRIM(SUBSTITUTE(INDEX([1]ТУ!$A:$G,MATCH($A78,[1]ТУ!$A:$A,0),3+K$7),"*",""))</f>
        <v/>
      </c>
      <c r="L78" s="6" t="str">
        <f>TRIM(SUBSTITUTE(INDEX([1]ТУ!$A:$G,MATCH($A78,[1]ТУ!$A:$A,0),3+L$7),"*",""))</f>
        <v/>
      </c>
      <c r="M78" s="7" t="str">
        <f t="shared" si="5"/>
        <v/>
      </c>
      <c r="N78" s="7" t="str">
        <f t="shared" si="6"/>
        <v/>
      </c>
      <c r="O78" s="7" t="str">
        <f t="shared" si="7"/>
        <v/>
      </c>
      <c r="P78" s="7" t="str">
        <f t="shared" si="8"/>
        <v/>
      </c>
    </row>
    <row r="79" spans="1:16" x14ac:dyDescent="0.25">
      <c r="A79" s="11" t="s">
        <v>78</v>
      </c>
      <c r="B79" s="11" t="s">
        <v>79</v>
      </c>
      <c r="C79" s="11" t="s">
        <v>80</v>
      </c>
      <c r="D79" s="11" t="s">
        <v>81</v>
      </c>
      <c r="E79" s="11"/>
      <c r="F79" s="11"/>
      <c r="G79" s="11"/>
      <c r="H79" s="11" t="s">
        <v>82</v>
      </c>
      <c r="I79" s="6" t="str">
        <f>TRIM(SUBSTITUTE(INDEX([1]ТУ!$A:$G,MATCH($A79,[1]ТУ!$A:$A,0),3+I$7),"*",""))</f>
        <v>Задаваемый параметр</v>
      </c>
      <c r="J79" s="6" t="str">
        <f>TRIM(SUBSTITUTE(INDEX([1]ТУ!$A:$G,MATCH($A79,[1]ТУ!$A:$A,0),3+J$7),"*",""))</f>
        <v/>
      </c>
      <c r="K79" s="6" t="str">
        <f>TRIM(SUBSTITUTE(INDEX([1]ТУ!$A:$G,MATCH($A79,[1]ТУ!$A:$A,0),3+K$7),"*",""))</f>
        <v/>
      </c>
      <c r="L79" s="6" t="str">
        <f>TRIM(SUBSTITUTE(INDEX([1]ТУ!$A:$G,MATCH($A79,[1]ТУ!$A:$A,0),3+L$7),"*",""))</f>
        <v/>
      </c>
      <c r="M79" s="7" t="str">
        <f t="shared" si="5"/>
        <v/>
      </c>
      <c r="N79" s="7" t="str">
        <f t="shared" si="6"/>
        <v/>
      </c>
      <c r="O79" s="7" t="str">
        <f t="shared" si="7"/>
        <v/>
      </c>
      <c r="P79" s="7" t="str">
        <f t="shared" si="8"/>
        <v/>
      </c>
    </row>
    <row r="80" spans="1:16" x14ac:dyDescent="0.25">
      <c r="A80" s="11"/>
      <c r="B80" s="11"/>
      <c r="C80" s="11"/>
      <c r="D80" s="11"/>
      <c r="E80" s="11"/>
      <c r="F80" s="11"/>
      <c r="G80" s="11"/>
      <c r="H80" s="11"/>
      <c r="I80" s="6" t="e">
        <f>TRIM(SUBSTITUTE(INDEX([1]ТУ!$A:$G,MATCH($A80,[1]ТУ!$A:$A,0),3+I$7),"*",""))</f>
        <v>#N/A</v>
      </c>
      <c r="J80" s="6" t="e">
        <f>TRIM(SUBSTITUTE(INDEX([1]ТУ!$A:$G,MATCH($A80,[1]ТУ!$A:$A,0),3+J$7),"*",""))</f>
        <v>#N/A</v>
      </c>
      <c r="K80" s="6" t="e">
        <f>TRIM(SUBSTITUTE(INDEX([1]ТУ!$A:$G,MATCH($A80,[1]ТУ!$A:$A,0),3+K$7),"*",""))</f>
        <v>#N/A</v>
      </c>
      <c r="L80" s="6" t="e">
        <f>TRIM(SUBSTITUTE(INDEX([1]ТУ!$A:$G,MATCH($A80,[1]ТУ!$A:$A,0),3+L$7),"*",""))</f>
        <v>#N/A</v>
      </c>
      <c r="M80" s="7" t="str">
        <f t="shared" si="5"/>
        <v/>
      </c>
      <c r="N80" s="7" t="str">
        <f t="shared" si="6"/>
        <v/>
      </c>
      <c r="O80" s="7" t="str">
        <f t="shared" si="7"/>
        <v/>
      </c>
      <c r="P80" s="7" t="str">
        <f t="shared" si="8"/>
        <v/>
      </c>
    </row>
    <row r="81" spans="1:16" ht="30" x14ac:dyDescent="0.25">
      <c r="A81" s="4" t="s">
        <v>197</v>
      </c>
      <c r="B81" s="2" t="s">
        <v>187</v>
      </c>
      <c r="C81" s="2" t="s">
        <v>188</v>
      </c>
      <c r="D81" s="8" t="s">
        <v>189</v>
      </c>
      <c r="E81" s="8"/>
      <c r="F81" s="8"/>
      <c r="G81" s="8"/>
      <c r="H81" s="2" t="s">
        <v>190</v>
      </c>
      <c r="I81" s="6" t="str">
        <f>TRIM(SUBSTITUTE(INDEX([1]ТУ!$A:$G,MATCH($A81,[1]ТУ!$A:$A,0),3+I$7),"*",""))</f>
        <v>100 В</v>
      </c>
      <c r="J81" s="6" t="str">
        <f>TRIM(SUBSTITUTE(INDEX([1]ТУ!$A:$G,MATCH($A81,[1]ТУ!$A:$A,0),3+J$7),"*",""))</f>
        <v/>
      </c>
      <c r="K81" s="6" t="str">
        <f>TRIM(SUBSTITUTE(INDEX([1]ТУ!$A:$G,MATCH($A81,[1]ТУ!$A:$A,0),3+K$7),"*",""))</f>
        <v/>
      </c>
      <c r="L81" s="6" t="str">
        <f>TRIM(SUBSTITUTE(INDEX([1]ТУ!$A:$G,MATCH($A81,[1]ТУ!$A:$A,0),3+L$7),"*",""))</f>
        <v/>
      </c>
      <c r="M81" s="7">
        <f t="shared" si="5"/>
        <v>1</v>
      </c>
      <c r="N81" s="7" t="str">
        <f t="shared" si="6"/>
        <v/>
      </c>
      <c r="O81" s="7" t="str">
        <f t="shared" si="7"/>
        <v/>
      </c>
      <c r="P81" s="7" t="str">
        <f t="shared" si="8"/>
        <v/>
      </c>
    </row>
    <row r="82" spans="1:16" x14ac:dyDescent="0.25">
      <c r="A82" s="4" t="s">
        <v>198</v>
      </c>
      <c r="B82" s="2" t="s">
        <v>193</v>
      </c>
      <c r="C82" s="2" t="s">
        <v>194</v>
      </c>
      <c r="D82" s="8" t="s">
        <v>195</v>
      </c>
      <c r="E82" s="8"/>
      <c r="F82" s="8"/>
      <c r="G82" s="8"/>
      <c r="H82" s="2" t="s">
        <v>196</v>
      </c>
      <c r="I82" s="6" t="str">
        <f>TRIM(SUBSTITUTE(INDEX([1]ТУ!$A:$G,MATCH($A82,[1]ТУ!$A:$A,0),3+I$7),"*",""))</f>
        <v>1 А</v>
      </c>
      <c r="J82" s="6" t="str">
        <f>TRIM(SUBSTITUTE(INDEX([1]ТУ!$A:$G,MATCH($A82,[1]ТУ!$A:$A,0),3+J$7),"*",""))</f>
        <v/>
      </c>
      <c r="K82" s="6" t="str">
        <f>TRIM(SUBSTITUTE(INDEX([1]ТУ!$A:$G,MATCH($A82,[1]ТУ!$A:$A,0),3+K$7),"*",""))</f>
        <v/>
      </c>
      <c r="L82" s="6" t="str">
        <f>TRIM(SUBSTITUTE(INDEX([1]ТУ!$A:$G,MATCH($A82,[1]ТУ!$A:$A,0),3+L$7),"*",""))</f>
        <v/>
      </c>
      <c r="M82" s="7">
        <f t="shared" si="5"/>
        <v>1</v>
      </c>
      <c r="N82" s="7" t="str">
        <f t="shared" si="6"/>
        <v/>
      </c>
      <c r="O82" s="7" t="str">
        <f t="shared" si="7"/>
        <v/>
      </c>
      <c r="P82" s="7" t="str">
        <f t="shared" si="8"/>
        <v/>
      </c>
    </row>
    <row r="83" spans="1:16" ht="17.25" x14ac:dyDescent="0.25">
      <c r="A83" s="10" t="s">
        <v>199</v>
      </c>
      <c r="B83" s="10"/>
      <c r="C83" s="10"/>
      <c r="D83" s="10"/>
      <c r="E83" s="10"/>
      <c r="F83" s="10"/>
      <c r="G83" s="10"/>
      <c r="H83" s="10"/>
      <c r="I83" s="6" t="str">
        <f>TRIM(SUBSTITUTE(INDEX([1]ТУ!$A:$G,MATCH($A83,[1]ТУ!$A:$A,0),3+I$7),"*",""))</f>
        <v/>
      </c>
      <c r="J83" s="6" t="str">
        <f>TRIM(SUBSTITUTE(INDEX([1]ТУ!$A:$G,MATCH($A83,[1]ТУ!$A:$A,0),3+J$7),"*",""))</f>
        <v/>
      </c>
      <c r="K83" s="6" t="str">
        <f>TRIM(SUBSTITUTE(INDEX([1]ТУ!$A:$G,MATCH($A83,[1]ТУ!$A:$A,0),3+K$7),"*",""))</f>
        <v/>
      </c>
      <c r="L83" s="6" t="str">
        <f>TRIM(SUBSTITUTE(INDEX([1]ТУ!$A:$G,MATCH($A83,[1]ТУ!$A:$A,0),3+L$7),"*",""))</f>
        <v/>
      </c>
      <c r="M83" s="7" t="str">
        <f t="shared" si="5"/>
        <v/>
      </c>
      <c r="N83" s="7" t="str">
        <f t="shared" si="6"/>
        <v/>
      </c>
      <c r="O83" s="7" t="str">
        <f t="shared" si="7"/>
        <v/>
      </c>
      <c r="P83" s="7" t="str">
        <f t="shared" si="8"/>
        <v/>
      </c>
    </row>
    <row r="84" spans="1:16" x14ac:dyDescent="0.25">
      <c r="A84" s="12" t="s">
        <v>200</v>
      </c>
      <c r="B84" s="12"/>
      <c r="C84" s="12"/>
      <c r="D84" s="12"/>
      <c r="E84" s="12"/>
      <c r="F84" s="12"/>
      <c r="G84" s="12"/>
      <c r="H84" s="12"/>
      <c r="I84" s="6" t="str">
        <f>TRIM(SUBSTITUTE(INDEX([1]ТУ!$A:$G,MATCH($A84,[1]ТУ!$A:$A,0),3+I$7),"*",""))</f>
        <v/>
      </c>
      <c r="J84" s="6" t="str">
        <f>TRIM(SUBSTITUTE(INDEX([1]ТУ!$A:$G,MATCH($A84,[1]ТУ!$A:$A,0),3+J$7),"*",""))</f>
        <v/>
      </c>
      <c r="K84" s="6" t="str">
        <f>TRIM(SUBSTITUTE(INDEX([1]ТУ!$A:$G,MATCH($A84,[1]ТУ!$A:$A,0),3+K$7),"*",""))</f>
        <v/>
      </c>
      <c r="L84" s="6" t="str">
        <f>TRIM(SUBSTITUTE(INDEX([1]ТУ!$A:$G,MATCH($A84,[1]ТУ!$A:$A,0),3+L$7),"*",""))</f>
        <v/>
      </c>
      <c r="M84" s="7" t="str">
        <f t="shared" si="5"/>
        <v/>
      </c>
      <c r="N84" s="7" t="str">
        <f t="shared" si="6"/>
        <v/>
      </c>
      <c r="O84" s="7" t="str">
        <f t="shared" si="7"/>
        <v/>
      </c>
      <c r="P84" s="7" t="str">
        <f t="shared" si="8"/>
        <v/>
      </c>
    </row>
    <row r="85" spans="1:16" x14ac:dyDescent="0.25">
      <c r="A85" s="11" t="s">
        <v>78</v>
      </c>
      <c r="B85" s="11" t="s">
        <v>79</v>
      </c>
      <c r="C85" s="11" t="s">
        <v>80</v>
      </c>
      <c r="D85" s="11" t="s">
        <v>81</v>
      </c>
      <c r="E85" s="11"/>
      <c r="F85" s="11"/>
      <c r="G85" s="11"/>
      <c r="H85" s="11" t="s">
        <v>82</v>
      </c>
      <c r="I85" s="6" t="str">
        <f>TRIM(SUBSTITUTE(INDEX([1]ТУ!$A:$G,MATCH($A85,[1]ТУ!$A:$A,0),3+I$7),"*",""))</f>
        <v>Задаваемый параметр</v>
      </c>
      <c r="J85" s="6" t="str">
        <f>TRIM(SUBSTITUTE(INDEX([1]ТУ!$A:$G,MATCH($A85,[1]ТУ!$A:$A,0),3+J$7),"*",""))</f>
        <v/>
      </c>
      <c r="K85" s="6" t="str">
        <f>TRIM(SUBSTITUTE(INDEX([1]ТУ!$A:$G,MATCH($A85,[1]ТУ!$A:$A,0),3+K$7),"*",""))</f>
        <v/>
      </c>
      <c r="L85" s="6" t="str">
        <f>TRIM(SUBSTITUTE(INDEX([1]ТУ!$A:$G,MATCH($A85,[1]ТУ!$A:$A,0),3+L$7),"*",""))</f>
        <v/>
      </c>
      <c r="M85" s="7" t="str">
        <f t="shared" si="5"/>
        <v/>
      </c>
      <c r="N85" s="7" t="str">
        <f t="shared" si="6"/>
        <v/>
      </c>
      <c r="O85" s="7" t="str">
        <f t="shared" si="7"/>
        <v/>
      </c>
      <c r="P85" s="7" t="str">
        <f t="shared" si="8"/>
        <v/>
      </c>
    </row>
    <row r="86" spans="1:16" x14ac:dyDescent="0.25">
      <c r="A86" s="11"/>
      <c r="B86" s="11"/>
      <c r="C86" s="11"/>
      <c r="D86" s="11"/>
      <c r="E86" s="11"/>
      <c r="F86" s="11"/>
      <c r="G86" s="11"/>
      <c r="H86" s="11"/>
      <c r="I86" s="6" t="e">
        <f>TRIM(SUBSTITUTE(INDEX([1]ТУ!$A:$G,MATCH($A86,[1]ТУ!$A:$A,0),3+I$7),"*",""))</f>
        <v>#N/A</v>
      </c>
      <c r="J86" s="6" t="e">
        <f>TRIM(SUBSTITUTE(INDEX([1]ТУ!$A:$G,MATCH($A86,[1]ТУ!$A:$A,0),3+J$7),"*",""))</f>
        <v>#N/A</v>
      </c>
      <c r="K86" s="6" t="e">
        <f>TRIM(SUBSTITUTE(INDEX([1]ТУ!$A:$G,MATCH($A86,[1]ТУ!$A:$A,0),3+K$7),"*",""))</f>
        <v>#N/A</v>
      </c>
      <c r="L86" s="6" t="e">
        <f>TRIM(SUBSTITUTE(INDEX([1]ТУ!$A:$G,MATCH($A86,[1]ТУ!$A:$A,0),3+L$7),"*",""))</f>
        <v>#N/A</v>
      </c>
      <c r="M86" s="7" t="str">
        <f t="shared" si="5"/>
        <v/>
      </c>
      <c r="N86" s="7" t="str">
        <f t="shared" si="6"/>
        <v/>
      </c>
      <c r="O86" s="7" t="str">
        <f t="shared" si="7"/>
        <v/>
      </c>
      <c r="P86" s="7" t="str">
        <f t="shared" si="8"/>
        <v/>
      </c>
    </row>
    <row r="87" spans="1:16" x14ac:dyDescent="0.25">
      <c r="A87" s="4" t="s">
        <v>201</v>
      </c>
      <c r="B87" s="2" t="s">
        <v>202</v>
      </c>
      <c r="C87" s="2" t="s">
        <v>203</v>
      </c>
      <c r="D87" s="8" t="s">
        <v>204</v>
      </c>
      <c r="E87" s="8"/>
      <c r="F87" s="8"/>
      <c r="G87" s="8"/>
      <c r="H87" s="2" t="s">
        <v>205</v>
      </c>
      <c r="I87" s="6" t="str">
        <f>TRIM(SUBSTITUTE(INDEX([1]ТУ!$A:$G,MATCH($A87,[1]ТУ!$A:$A,0),3+I$7),"*",""))</f>
        <v>0.06 сек</v>
      </c>
      <c r="J87" s="6" t="str">
        <f>TRIM(SUBSTITUTE(INDEX([1]ТУ!$A:$G,MATCH($A87,[1]ТУ!$A:$A,0),3+J$7),"*",""))</f>
        <v/>
      </c>
      <c r="K87" s="6" t="str">
        <f>TRIM(SUBSTITUTE(INDEX([1]ТУ!$A:$G,MATCH($A87,[1]ТУ!$A:$A,0),3+K$7),"*",""))</f>
        <v/>
      </c>
      <c r="L87" s="6" t="str">
        <f>TRIM(SUBSTITUTE(INDEX([1]ТУ!$A:$G,MATCH($A87,[1]ТУ!$A:$A,0),3+L$7),"*",""))</f>
        <v/>
      </c>
      <c r="M87" s="7" t="str">
        <f t="shared" si="5"/>
        <v/>
      </c>
      <c r="N87" s="7" t="str">
        <f t="shared" si="6"/>
        <v/>
      </c>
      <c r="O87" s="7" t="str">
        <f t="shared" si="7"/>
        <v/>
      </c>
      <c r="P87" s="7" t="str">
        <f t="shared" si="8"/>
        <v/>
      </c>
    </row>
    <row r="88" spans="1:16" x14ac:dyDescent="0.25">
      <c r="A88" s="4" t="s">
        <v>206</v>
      </c>
      <c r="B88" s="2" t="s">
        <v>207</v>
      </c>
      <c r="C88" s="2" t="s">
        <v>208</v>
      </c>
      <c r="D88" s="8" t="s">
        <v>209</v>
      </c>
      <c r="E88" s="8"/>
      <c r="F88" s="8"/>
      <c r="G88" s="8"/>
      <c r="H88" s="2" t="s">
        <v>210</v>
      </c>
      <c r="I88" s="6" t="str">
        <f>TRIM(SUBSTITUTE(INDEX([1]ТУ!$A:$G,MATCH($A88,[1]ТУ!$A:$A,0),3+I$7),"*",""))</f>
        <v>1</v>
      </c>
      <c r="J88" s="6" t="str">
        <f>TRIM(SUBSTITUTE(INDEX([1]ТУ!$A:$G,MATCH($A88,[1]ТУ!$A:$A,0),3+J$7),"*",""))</f>
        <v/>
      </c>
      <c r="K88" s="6" t="str">
        <f>TRIM(SUBSTITUTE(INDEX([1]ТУ!$A:$G,MATCH($A88,[1]ТУ!$A:$A,0),3+K$7),"*",""))</f>
        <v/>
      </c>
      <c r="L88" s="6" t="str">
        <f>TRIM(SUBSTITUTE(INDEX([1]ТУ!$A:$G,MATCH($A88,[1]ТУ!$A:$A,0),3+L$7),"*",""))</f>
        <v/>
      </c>
      <c r="M88" s="7">
        <f t="shared" si="5"/>
        <v>1</v>
      </c>
      <c r="N88" s="7" t="str">
        <f t="shared" si="6"/>
        <v/>
      </c>
      <c r="O88" s="7" t="str">
        <f t="shared" si="7"/>
        <v/>
      </c>
      <c r="P88" s="7" t="str">
        <f t="shared" si="8"/>
        <v/>
      </c>
    </row>
    <row r="89" spans="1:16" x14ac:dyDescent="0.25">
      <c r="A89" s="4" t="s">
        <v>211</v>
      </c>
      <c r="B89" s="2" t="s">
        <v>212</v>
      </c>
      <c r="C89" s="2" t="s">
        <v>213</v>
      </c>
      <c r="D89" s="8" t="s">
        <v>214</v>
      </c>
      <c r="E89" s="8"/>
      <c r="F89" s="8"/>
      <c r="G89" s="8"/>
      <c r="H89" s="2" t="s">
        <v>215</v>
      </c>
      <c r="I89" s="6" t="str">
        <f>TRIM(SUBSTITUTE(INDEX([1]ТУ!$A:$G,MATCH($A89,[1]ТУ!$A:$A,0),3+I$7),"*",""))</f>
        <v>330 °</v>
      </c>
      <c r="J89" s="6" t="str">
        <f>TRIM(SUBSTITUTE(INDEX([1]ТУ!$A:$G,MATCH($A89,[1]ТУ!$A:$A,0),3+J$7),"*",""))</f>
        <v/>
      </c>
      <c r="K89" s="6" t="str">
        <f>TRIM(SUBSTITUTE(INDEX([1]ТУ!$A:$G,MATCH($A89,[1]ТУ!$A:$A,0),3+K$7),"*",""))</f>
        <v/>
      </c>
      <c r="L89" s="6" t="str">
        <f>TRIM(SUBSTITUTE(INDEX([1]ТУ!$A:$G,MATCH($A89,[1]ТУ!$A:$A,0),3+L$7),"*",""))</f>
        <v/>
      </c>
      <c r="M89" s="7" t="str">
        <f t="shared" si="5"/>
        <v/>
      </c>
      <c r="N89" s="7" t="str">
        <f t="shared" si="6"/>
        <v/>
      </c>
      <c r="O89" s="7" t="str">
        <f t="shared" si="7"/>
        <v/>
      </c>
      <c r="P89" s="7" t="str">
        <f t="shared" si="8"/>
        <v/>
      </c>
    </row>
    <row r="90" spans="1:16" x14ac:dyDescent="0.25">
      <c r="A90" s="4" t="s">
        <v>216</v>
      </c>
      <c r="B90" s="2" t="s">
        <v>217</v>
      </c>
      <c r="C90" s="2" t="s">
        <v>218</v>
      </c>
      <c r="D90" s="8" t="s">
        <v>189</v>
      </c>
      <c r="E90" s="8"/>
      <c r="F90" s="8"/>
      <c r="G90" s="8"/>
      <c r="H90" s="2" t="s">
        <v>219</v>
      </c>
      <c r="I90" s="6" t="str">
        <f>TRIM(SUBSTITUTE(INDEX([1]ТУ!$A:$G,MATCH($A90,[1]ТУ!$A:$A,0),3+I$7),"*",""))</f>
        <v>100 В</v>
      </c>
      <c r="J90" s="6" t="str">
        <f>TRIM(SUBSTITUTE(INDEX([1]ТУ!$A:$G,MATCH($A90,[1]ТУ!$A:$A,0),3+J$7),"*",""))</f>
        <v/>
      </c>
      <c r="K90" s="6" t="str">
        <f>TRIM(SUBSTITUTE(INDEX([1]ТУ!$A:$G,MATCH($A90,[1]ТУ!$A:$A,0),3+K$7),"*",""))</f>
        <v/>
      </c>
      <c r="L90" s="6" t="str">
        <f>TRIM(SUBSTITUTE(INDEX([1]ТУ!$A:$G,MATCH($A90,[1]ТУ!$A:$A,0),3+L$7),"*",""))</f>
        <v/>
      </c>
      <c r="M90" s="7">
        <f t="shared" si="5"/>
        <v>1</v>
      </c>
      <c r="N90" s="7" t="str">
        <f t="shared" si="6"/>
        <v/>
      </c>
      <c r="O90" s="7" t="str">
        <f t="shared" si="7"/>
        <v/>
      </c>
      <c r="P90" s="7" t="str">
        <f t="shared" si="8"/>
        <v/>
      </c>
    </row>
    <row r="91" spans="1:16" x14ac:dyDescent="0.25">
      <c r="A91" s="4" t="s">
        <v>220</v>
      </c>
      <c r="B91" s="2" t="s">
        <v>221</v>
      </c>
      <c r="C91" s="2" t="s">
        <v>218</v>
      </c>
      <c r="D91" s="8" t="s">
        <v>189</v>
      </c>
      <c r="E91" s="8"/>
      <c r="F91" s="8"/>
      <c r="G91" s="8"/>
      <c r="H91" s="2" t="s">
        <v>219</v>
      </c>
      <c r="I91" s="6" t="str">
        <f>TRIM(SUBSTITUTE(INDEX([1]ТУ!$A:$G,MATCH($A91,[1]ТУ!$A:$A,0),3+I$7),"*",""))</f>
        <v>100 В</v>
      </c>
      <c r="J91" s="6" t="str">
        <f>TRIM(SUBSTITUTE(INDEX([1]ТУ!$A:$G,MATCH($A91,[1]ТУ!$A:$A,0),3+J$7),"*",""))</f>
        <v/>
      </c>
      <c r="K91" s="6" t="str">
        <f>TRIM(SUBSTITUTE(INDEX([1]ТУ!$A:$G,MATCH($A91,[1]ТУ!$A:$A,0),3+K$7),"*",""))</f>
        <v/>
      </c>
      <c r="L91" s="6" t="str">
        <f>TRIM(SUBSTITUTE(INDEX([1]ТУ!$A:$G,MATCH($A91,[1]ТУ!$A:$A,0),3+L$7),"*",""))</f>
        <v/>
      </c>
      <c r="M91" s="7">
        <f t="shared" si="5"/>
        <v>1</v>
      </c>
      <c r="N91" s="7" t="str">
        <f t="shared" si="6"/>
        <v/>
      </c>
      <c r="O91" s="7" t="str">
        <f t="shared" si="7"/>
        <v/>
      </c>
      <c r="P91" s="7" t="str">
        <f t="shared" si="8"/>
        <v/>
      </c>
    </row>
    <row r="92" spans="1:16" x14ac:dyDescent="0.25">
      <c r="A92" s="12" t="s">
        <v>84</v>
      </c>
      <c r="B92" s="12"/>
      <c r="C92" s="12"/>
      <c r="D92" s="12"/>
      <c r="E92" s="12"/>
      <c r="F92" s="12"/>
      <c r="G92" s="12"/>
      <c r="H92" s="12"/>
      <c r="I92" s="6" t="str">
        <f>TRIM(SUBSTITUTE(INDEX([1]ТУ!$A:$G,MATCH($A92,[1]ТУ!$A:$A,0),3+I$7),"*",""))</f>
        <v/>
      </c>
      <c r="J92" s="6" t="str">
        <f>TRIM(SUBSTITUTE(INDEX([1]ТУ!$A:$G,MATCH($A92,[1]ТУ!$A:$A,0),3+J$7),"*",""))</f>
        <v/>
      </c>
      <c r="K92" s="6" t="str">
        <f>TRIM(SUBSTITUTE(INDEX([1]ТУ!$A:$G,MATCH($A92,[1]ТУ!$A:$A,0),3+K$7),"*",""))</f>
        <v/>
      </c>
      <c r="L92" s="6" t="str">
        <f>TRIM(SUBSTITUTE(INDEX([1]ТУ!$A:$G,MATCH($A92,[1]ТУ!$A:$A,0),3+L$7),"*",""))</f>
        <v/>
      </c>
      <c r="M92" s="7" t="str">
        <f t="shared" si="5"/>
        <v/>
      </c>
      <c r="N92" s="7" t="str">
        <f t="shared" si="6"/>
        <v/>
      </c>
      <c r="O92" s="7" t="str">
        <f t="shared" si="7"/>
        <v/>
      </c>
      <c r="P92" s="7" t="str">
        <f t="shared" si="8"/>
        <v/>
      </c>
    </row>
    <row r="93" spans="1:16" x14ac:dyDescent="0.25">
      <c r="A93" s="11" t="s">
        <v>78</v>
      </c>
      <c r="B93" s="11" t="s">
        <v>79</v>
      </c>
      <c r="C93" s="11" t="s">
        <v>80</v>
      </c>
      <c r="D93" s="11" t="s">
        <v>81</v>
      </c>
      <c r="E93" s="11"/>
      <c r="F93" s="11"/>
      <c r="G93" s="11"/>
      <c r="H93" s="11" t="s">
        <v>82</v>
      </c>
      <c r="I93" s="6" t="str">
        <f>TRIM(SUBSTITUTE(INDEX([1]ТУ!$A:$G,MATCH($A93,[1]ТУ!$A:$A,0),3+I$7),"*",""))</f>
        <v>Задаваемый параметр</v>
      </c>
      <c r="J93" s="6" t="str">
        <f>TRIM(SUBSTITUTE(INDEX([1]ТУ!$A:$G,MATCH($A93,[1]ТУ!$A:$A,0),3+J$7),"*",""))</f>
        <v/>
      </c>
      <c r="K93" s="6" t="str">
        <f>TRIM(SUBSTITUTE(INDEX([1]ТУ!$A:$G,MATCH($A93,[1]ТУ!$A:$A,0),3+K$7),"*",""))</f>
        <v/>
      </c>
      <c r="L93" s="6" t="str">
        <f>TRIM(SUBSTITUTE(INDEX([1]ТУ!$A:$G,MATCH($A93,[1]ТУ!$A:$A,0),3+L$7),"*",""))</f>
        <v/>
      </c>
      <c r="M93" s="7" t="str">
        <f t="shared" si="5"/>
        <v/>
      </c>
      <c r="N93" s="7" t="str">
        <f t="shared" si="6"/>
        <v/>
      </c>
      <c r="O93" s="7" t="str">
        <f t="shared" si="7"/>
        <v/>
      </c>
      <c r="P93" s="7" t="str">
        <f t="shared" si="8"/>
        <v/>
      </c>
    </row>
    <row r="94" spans="1:16" x14ac:dyDescent="0.25">
      <c r="A94" s="11"/>
      <c r="B94" s="11"/>
      <c r="C94" s="11"/>
      <c r="D94" s="11"/>
      <c r="E94" s="11"/>
      <c r="F94" s="11"/>
      <c r="G94" s="11"/>
      <c r="H94" s="11"/>
      <c r="I94" s="6" t="e">
        <f>TRIM(SUBSTITUTE(INDEX([1]ТУ!$A:$G,MATCH($A94,[1]ТУ!$A:$A,0),3+I$7),"*",""))</f>
        <v>#N/A</v>
      </c>
      <c r="J94" s="6" t="e">
        <f>TRIM(SUBSTITUTE(INDEX([1]ТУ!$A:$G,MATCH($A94,[1]ТУ!$A:$A,0),3+J$7),"*",""))</f>
        <v>#N/A</v>
      </c>
      <c r="K94" s="6" t="e">
        <f>TRIM(SUBSTITUTE(INDEX([1]ТУ!$A:$G,MATCH($A94,[1]ТУ!$A:$A,0),3+K$7),"*",""))</f>
        <v>#N/A</v>
      </c>
      <c r="L94" s="6" t="e">
        <f>TRIM(SUBSTITUTE(INDEX([1]ТУ!$A:$G,MATCH($A94,[1]ТУ!$A:$A,0),3+L$7),"*",""))</f>
        <v>#N/A</v>
      </c>
      <c r="M94" s="7" t="str">
        <f t="shared" si="5"/>
        <v/>
      </c>
      <c r="N94" s="7" t="str">
        <f t="shared" si="6"/>
        <v/>
      </c>
      <c r="O94" s="7" t="str">
        <f t="shared" si="7"/>
        <v/>
      </c>
      <c r="P94" s="7" t="str">
        <f t="shared" si="8"/>
        <v/>
      </c>
    </row>
    <row r="95" spans="1:16" x14ac:dyDescent="0.25">
      <c r="A95" s="4" t="s">
        <v>222</v>
      </c>
      <c r="B95" s="2" t="s">
        <v>223</v>
      </c>
      <c r="C95" s="2" t="s">
        <v>224</v>
      </c>
      <c r="D95" s="8" t="s">
        <v>225</v>
      </c>
      <c r="E95" s="8"/>
      <c r="F95" s="8"/>
      <c r="G95" s="8"/>
      <c r="H95" s="2" t="s">
        <v>226</v>
      </c>
      <c r="I95" s="6" t="str">
        <f>TRIM(SUBSTITUTE(INDEX([1]ТУ!$A:$G,MATCH($A95,[1]ТУ!$A:$A,0),3+I$7),"*",""))</f>
        <v>60 В</v>
      </c>
      <c r="J95" s="6" t="str">
        <f>TRIM(SUBSTITUTE(INDEX([1]ТУ!$A:$G,MATCH($A95,[1]ТУ!$A:$A,0),3+J$7),"*",""))</f>
        <v/>
      </c>
      <c r="K95" s="6" t="str">
        <f>TRIM(SUBSTITUTE(INDEX([1]ТУ!$A:$G,MATCH($A95,[1]ТУ!$A:$A,0),3+K$7),"*",""))</f>
        <v/>
      </c>
      <c r="L95" s="6" t="str">
        <f>TRIM(SUBSTITUTE(INDEX([1]ТУ!$A:$G,MATCH($A95,[1]ТУ!$A:$A,0),3+L$7),"*",""))</f>
        <v/>
      </c>
      <c r="M95" s="7" t="str">
        <f t="shared" si="5"/>
        <v/>
      </c>
      <c r="N95" s="7" t="str">
        <f t="shared" si="6"/>
        <v/>
      </c>
      <c r="O95" s="7" t="str">
        <f t="shared" si="7"/>
        <v/>
      </c>
      <c r="P95" s="7" t="str">
        <f t="shared" si="8"/>
        <v/>
      </c>
    </row>
    <row r="96" spans="1:16" x14ac:dyDescent="0.25">
      <c r="A96" s="4" t="s">
        <v>227</v>
      </c>
      <c r="B96" s="2" t="s">
        <v>228</v>
      </c>
      <c r="C96" s="2" t="s">
        <v>229</v>
      </c>
      <c r="D96" s="8" t="s">
        <v>230</v>
      </c>
      <c r="E96" s="8"/>
      <c r="F96" s="8"/>
      <c r="G96" s="8"/>
      <c r="H96" s="2" t="s">
        <v>231</v>
      </c>
      <c r="I96" s="6" t="str">
        <f>TRIM(SUBSTITUTE(INDEX([1]ТУ!$A:$G,MATCH($A96,[1]ТУ!$A:$A,0),3+I$7),"*",""))</f>
        <v>120 В</v>
      </c>
      <c r="J96" s="6" t="str">
        <f>TRIM(SUBSTITUTE(INDEX([1]ТУ!$A:$G,MATCH($A96,[1]ТУ!$A:$A,0),3+J$7),"*",""))</f>
        <v/>
      </c>
      <c r="K96" s="6" t="str">
        <f>TRIM(SUBSTITUTE(INDEX([1]ТУ!$A:$G,MATCH($A96,[1]ТУ!$A:$A,0),3+K$7),"*",""))</f>
        <v/>
      </c>
      <c r="L96" s="6" t="str">
        <f>TRIM(SUBSTITUTE(INDEX([1]ТУ!$A:$G,MATCH($A96,[1]ТУ!$A:$A,0),3+L$7),"*",""))</f>
        <v/>
      </c>
      <c r="M96" s="7" t="str">
        <f t="shared" si="5"/>
        <v/>
      </c>
      <c r="N96" s="7" t="str">
        <f t="shared" si="6"/>
        <v/>
      </c>
      <c r="O96" s="7" t="str">
        <f t="shared" si="7"/>
        <v/>
      </c>
      <c r="P96" s="7" t="str">
        <f t="shared" si="8"/>
        <v/>
      </c>
    </row>
    <row r="97" spans="1:16" x14ac:dyDescent="0.25">
      <c r="A97" s="4" t="s">
        <v>232</v>
      </c>
      <c r="B97" s="2" t="s">
        <v>233</v>
      </c>
      <c r="C97" s="2" t="s">
        <v>234</v>
      </c>
      <c r="D97" s="8" t="s">
        <v>235</v>
      </c>
      <c r="E97" s="8"/>
      <c r="F97" s="8"/>
      <c r="G97" s="8"/>
      <c r="H97" s="2" t="s">
        <v>236</v>
      </c>
      <c r="I97" s="6" t="str">
        <f>TRIM(SUBSTITUTE(INDEX([1]ТУ!$A:$G,MATCH($A97,[1]ТУ!$A:$A,0),3+I$7),"*",""))</f>
        <v>50 В</v>
      </c>
      <c r="J97" s="6" t="str">
        <f>TRIM(SUBSTITUTE(INDEX([1]ТУ!$A:$G,MATCH($A97,[1]ТУ!$A:$A,0),3+J$7),"*",""))</f>
        <v/>
      </c>
      <c r="K97" s="6" t="str">
        <f>TRIM(SUBSTITUTE(INDEX([1]ТУ!$A:$G,MATCH($A97,[1]ТУ!$A:$A,0),3+K$7),"*",""))</f>
        <v/>
      </c>
      <c r="L97" s="6" t="str">
        <f>TRIM(SUBSTITUTE(INDEX([1]ТУ!$A:$G,MATCH($A97,[1]ТУ!$A:$A,0),3+L$7),"*",""))</f>
        <v/>
      </c>
      <c r="M97" s="7" t="str">
        <f t="shared" si="5"/>
        <v/>
      </c>
      <c r="N97" s="7" t="str">
        <f t="shared" si="6"/>
        <v/>
      </c>
      <c r="O97" s="7" t="str">
        <f t="shared" si="7"/>
        <v/>
      </c>
      <c r="P97" s="7" t="str">
        <f t="shared" si="8"/>
        <v/>
      </c>
    </row>
    <row r="98" spans="1:16" ht="30" x14ac:dyDescent="0.25">
      <c r="A98" s="4" t="s">
        <v>237</v>
      </c>
      <c r="B98" s="2" t="s">
        <v>238</v>
      </c>
      <c r="C98" s="2" t="s">
        <v>239</v>
      </c>
      <c r="D98" s="8" t="s">
        <v>102</v>
      </c>
      <c r="E98" s="8"/>
      <c r="F98" s="8"/>
      <c r="G98" s="8"/>
      <c r="H98" s="2" t="s">
        <v>240</v>
      </c>
      <c r="I98" s="6" t="str">
        <f>TRIM(SUBSTITUTE(INDEX([1]ТУ!$A:$G,MATCH($A98,[1]ТУ!$A:$A,0),3+I$7),"*",""))</f>
        <v>НЕТ</v>
      </c>
      <c r="J98" s="6" t="str">
        <f>TRIM(SUBSTITUTE(INDEX([1]ТУ!$A:$G,MATCH($A98,[1]ТУ!$A:$A,0),3+J$7),"*",""))</f>
        <v/>
      </c>
      <c r="K98" s="6" t="str">
        <f>TRIM(SUBSTITUTE(INDEX([1]ТУ!$A:$G,MATCH($A98,[1]ТУ!$A:$A,0),3+K$7),"*",""))</f>
        <v/>
      </c>
      <c r="L98" s="6" t="str">
        <f>TRIM(SUBSTITUTE(INDEX([1]ТУ!$A:$G,MATCH($A98,[1]ТУ!$A:$A,0),3+L$7),"*",""))</f>
        <v/>
      </c>
      <c r="M98" s="7" t="str">
        <f t="shared" si="5"/>
        <v/>
      </c>
      <c r="N98" s="7" t="str">
        <f t="shared" si="6"/>
        <v/>
      </c>
      <c r="O98" s="7" t="str">
        <f t="shared" si="7"/>
        <v/>
      </c>
      <c r="P98" s="7" t="str">
        <f t="shared" si="8"/>
        <v/>
      </c>
    </row>
    <row r="99" spans="1:16" ht="30" x14ac:dyDescent="0.25">
      <c r="A99" s="4" t="s">
        <v>241</v>
      </c>
      <c r="B99" s="2" t="s">
        <v>242</v>
      </c>
      <c r="C99" s="2" t="s">
        <v>239</v>
      </c>
      <c r="D99" s="8" t="s">
        <v>102</v>
      </c>
      <c r="E99" s="8"/>
      <c r="F99" s="8"/>
      <c r="G99" s="8"/>
      <c r="H99" s="2" t="s">
        <v>243</v>
      </c>
      <c r="I99" s="6" t="str">
        <f>TRIM(SUBSTITUTE(INDEX([1]ТУ!$A:$G,MATCH($A99,[1]ТУ!$A:$A,0),3+I$7),"*",""))</f>
        <v>НЕТ</v>
      </c>
      <c r="J99" s="6" t="str">
        <f>TRIM(SUBSTITUTE(INDEX([1]ТУ!$A:$G,MATCH($A99,[1]ТУ!$A:$A,0),3+J$7),"*",""))</f>
        <v/>
      </c>
      <c r="K99" s="6" t="str">
        <f>TRIM(SUBSTITUTE(INDEX([1]ТУ!$A:$G,MATCH($A99,[1]ТУ!$A:$A,0),3+K$7),"*",""))</f>
        <v/>
      </c>
      <c r="L99" s="6" t="str">
        <f>TRIM(SUBSTITUTE(INDEX([1]ТУ!$A:$G,MATCH($A99,[1]ТУ!$A:$A,0),3+L$7),"*",""))</f>
        <v/>
      </c>
      <c r="M99" s="7" t="str">
        <f t="shared" si="5"/>
        <v/>
      </c>
      <c r="N99" s="7" t="str">
        <f t="shared" si="6"/>
        <v/>
      </c>
      <c r="O99" s="7" t="str">
        <f t="shared" si="7"/>
        <v/>
      </c>
      <c r="P99" s="7" t="str">
        <f t="shared" si="8"/>
        <v/>
      </c>
    </row>
    <row r="100" spans="1:16" ht="30" x14ac:dyDescent="0.25">
      <c r="A100" s="4" t="s">
        <v>244</v>
      </c>
      <c r="B100" s="2" t="s">
        <v>245</v>
      </c>
      <c r="C100" s="2" t="s">
        <v>239</v>
      </c>
      <c r="D100" s="8" t="s">
        <v>102</v>
      </c>
      <c r="E100" s="8"/>
      <c r="F100" s="8"/>
      <c r="G100" s="8"/>
      <c r="H100" s="2" t="s">
        <v>246</v>
      </c>
      <c r="I100" s="6" t="str">
        <f>TRIM(SUBSTITUTE(INDEX([1]ТУ!$A:$G,MATCH($A100,[1]ТУ!$A:$A,0),3+I$7),"*",""))</f>
        <v>НЕТ</v>
      </c>
      <c r="J100" s="6" t="str">
        <f>TRIM(SUBSTITUTE(INDEX([1]ТУ!$A:$G,MATCH($A100,[1]ТУ!$A:$A,0),3+J$7),"*",""))</f>
        <v/>
      </c>
      <c r="K100" s="6" t="str">
        <f>TRIM(SUBSTITUTE(INDEX([1]ТУ!$A:$G,MATCH($A100,[1]ТУ!$A:$A,0),3+K$7),"*",""))</f>
        <v/>
      </c>
      <c r="L100" s="6" t="str">
        <f>TRIM(SUBSTITUTE(INDEX([1]ТУ!$A:$G,MATCH($A100,[1]ТУ!$A:$A,0),3+L$7),"*",""))</f>
        <v/>
      </c>
      <c r="M100" s="7" t="str">
        <f t="shared" si="5"/>
        <v/>
      </c>
      <c r="N100" s="7" t="str">
        <f t="shared" si="6"/>
        <v/>
      </c>
      <c r="O100" s="7" t="str">
        <f t="shared" si="7"/>
        <v/>
      </c>
      <c r="P100" s="7" t="str">
        <f t="shared" si="8"/>
        <v/>
      </c>
    </row>
    <row r="101" spans="1:16" x14ac:dyDescent="0.25">
      <c r="A101" s="4" t="s">
        <v>247</v>
      </c>
      <c r="B101" s="2" t="s">
        <v>248</v>
      </c>
      <c r="C101" s="2" t="s">
        <v>249</v>
      </c>
      <c r="D101" s="8" t="s">
        <v>250</v>
      </c>
      <c r="E101" s="8"/>
      <c r="F101" s="8"/>
      <c r="G101" s="8"/>
      <c r="H101" s="2" t="s">
        <v>251</v>
      </c>
      <c r="I101" s="6" t="str">
        <f>TRIM(SUBSTITUTE(INDEX([1]ТУ!$A:$G,MATCH($A101,[1]ТУ!$A:$A,0),3+I$7),"*",""))</f>
        <v>60 сек</v>
      </c>
      <c r="J101" s="6" t="str">
        <f>TRIM(SUBSTITUTE(INDEX([1]ТУ!$A:$G,MATCH($A101,[1]ТУ!$A:$A,0),3+J$7),"*",""))</f>
        <v/>
      </c>
      <c r="K101" s="6" t="str">
        <f>TRIM(SUBSTITUTE(INDEX([1]ТУ!$A:$G,MATCH($A101,[1]ТУ!$A:$A,0),3+K$7),"*",""))</f>
        <v/>
      </c>
      <c r="L101" s="6" t="str">
        <f>TRIM(SUBSTITUTE(INDEX([1]ТУ!$A:$G,MATCH($A101,[1]ТУ!$A:$A,0),3+L$7),"*",""))</f>
        <v/>
      </c>
      <c r="M101" s="7">
        <f t="shared" si="5"/>
        <v>1</v>
      </c>
      <c r="N101" s="7" t="str">
        <f t="shared" si="6"/>
        <v/>
      </c>
      <c r="O101" s="7" t="str">
        <f t="shared" si="7"/>
        <v/>
      </c>
      <c r="P101" s="7" t="str">
        <f t="shared" si="8"/>
        <v/>
      </c>
    </row>
    <row r="102" spans="1:16" x14ac:dyDescent="0.25">
      <c r="A102" s="4" t="s">
        <v>252</v>
      </c>
      <c r="B102" s="2" t="s">
        <v>253</v>
      </c>
      <c r="C102" s="2" t="s">
        <v>254</v>
      </c>
      <c r="D102" s="8" t="s">
        <v>255</v>
      </c>
      <c r="E102" s="8"/>
      <c r="F102" s="8"/>
      <c r="G102" s="8"/>
      <c r="H102" s="2" t="s">
        <v>256</v>
      </c>
      <c r="I102" s="6" t="str">
        <f>TRIM(SUBSTITUTE(INDEX([1]ТУ!$A:$G,MATCH($A102,[1]ТУ!$A:$A,0),3+I$7),"*",""))</f>
        <v>97 %</v>
      </c>
      <c r="J102" s="6" t="str">
        <f>TRIM(SUBSTITUTE(INDEX([1]ТУ!$A:$G,MATCH($A102,[1]ТУ!$A:$A,0),3+J$7),"*",""))</f>
        <v/>
      </c>
      <c r="K102" s="6" t="str">
        <f>TRIM(SUBSTITUTE(INDEX([1]ТУ!$A:$G,MATCH($A102,[1]ТУ!$A:$A,0),3+K$7),"*",""))</f>
        <v/>
      </c>
      <c r="L102" s="6" t="str">
        <f>TRIM(SUBSTITUTE(INDEX([1]ТУ!$A:$G,MATCH($A102,[1]ТУ!$A:$A,0),3+L$7),"*",""))</f>
        <v/>
      </c>
      <c r="M102" s="7" t="str">
        <f t="shared" si="5"/>
        <v/>
      </c>
      <c r="N102" s="7" t="str">
        <f t="shared" si="6"/>
        <v/>
      </c>
      <c r="O102" s="7" t="str">
        <f t="shared" si="7"/>
        <v/>
      </c>
      <c r="P102" s="7" t="str">
        <f t="shared" si="8"/>
        <v/>
      </c>
    </row>
    <row r="103" spans="1:16" x14ac:dyDescent="0.25">
      <c r="A103" s="4" t="s">
        <v>257</v>
      </c>
      <c r="B103" s="2" t="s">
        <v>258</v>
      </c>
      <c r="C103" s="2" t="s">
        <v>254</v>
      </c>
      <c r="D103" s="8" t="s">
        <v>259</v>
      </c>
      <c r="E103" s="8"/>
      <c r="F103" s="8"/>
      <c r="G103" s="8"/>
      <c r="H103" s="2" t="s">
        <v>260</v>
      </c>
      <c r="I103" s="6" t="str">
        <f>TRIM(SUBSTITUTE(INDEX([1]ТУ!$A:$G,MATCH($A103,[1]ТУ!$A:$A,0),3+I$7),"*",""))</f>
        <v>101 %</v>
      </c>
      <c r="J103" s="6" t="str">
        <f>TRIM(SUBSTITUTE(INDEX([1]ТУ!$A:$G,MATCH($A103,[1]ТУ!$A:$A,0),3+J$7),"*",""))</f>
        <v/>
      </c>
      <c r="K103" s="6" t="str">
        <f>TRIM(SUBSTITUTE(INDEX([1]ТУ!$A:$G,MATCH($A103,[1]ТУ!$A:$A,0),3+K$7),"*",""))</f>
        <v/>
      </c>
      <c r="L103" s="6" t="str">
        <f>TRIM(SUBSTITUTE(INDEX([1]ТУ!$A:$G,MATCH($A103,[1]ТУ!$A:$A,0),3+L$7),"*",""))</f>
        <v/>
      </c>
      <c r="M103" s="7" t="str">
        <f t="shared" si="5"/>
        <v/>
      </c>
      <c r="N103" s="7" t="str">
        <f t="shared" si="6"/>
        <v/>
      </c>
      <c r="O103" s="7" t="str">
        <f t="shared" si="7"/>
        <v/>
      </c>
      <c r="P103" s="7" t="str">
        <f t="shared" si="8"/>
        <v/>
      </c>
    </row>
    <row r="104" spans="1:16" x14ac:dyDescent="0.25">
      <c r="A104" s="12" t="s">
        <v>261</v>
      </c>
      <c r="B104" s="12"/>
      <c r="C104" s="12"/>
      <c r="D104" s="12"/>
      <c r="E104" s="12"/>
      <c r="F104" s="12"/>
      <c r="G104" s="12"/>
      <c r="H104" s="12"/>
      <c r="I104" s="6" t="str">
        <f>TRIM(SUBSTITUTE(INDEX([1]ТУ!$A:$G,MATCH($A104,[1]ТУ!$A:$A,0),3+I$7),"*",""))</f>
        <v/>
      </c>
      <c r="J104" s="6" t="str">
        <f>TRIM(SUBSTITUTE(INDEX([1]ТУ!$A:$G,MATCH($A104,[1]ТУ!$A:$A,0),3+J$7),"*",""))</f>
        <v/>
      </c>
      <c r="K104" s="6" t="str">
        <f>TRIM(SUBSTITUTE(INDEX([1]ТУ!$A:$G,MATCH($A104,[1]ТУ!$A:$A,0),3+K$7),"*",""))</f>
        <v/>
      </c>
      <c r="L104" s="6" t="str">
        <f>TRIM(SUBSTITUTE(INDEX([1]ТУ!$A:$G,MATCH($A104,[1]ТУ!$A:$A,0),3+L$7),"*",""))</f>
        <v/>
      </c>
      <c r="M104" s="7" t="str">
        <f t="shared" si="5"/>
        <v/>
      </c>
      <c r="N104" s="7" t="str">
        <f t="shared" si="6"/>
        <v/>
      </c>
      <c r="O104" s="7" t="str">
        <f t="shared" si="7"/>
        <v/>
      </c>
      <c r="P104" s="7" t="str">
        <f t="shared" si="8"/>
        <v/>
      </c>
    </row>
    <row r="105" spans="1:16" x14ac:dyDescent="0.25">
      <c r="A105" s="11" t="s">
        <v>78</v>
      </c>
      <c r="B105" s="11" t="s">
        <v>79</v>
      </c>
      <c r="C105" s="11" t="s">
        <v>80</v>
      </c>
      <c r="D105" s="11" t="s">
        <v>81</v>
      </c>
      <c r="E105" s="11"/>
      <c r="F105" s="11"/>
      <c r="G105" s="11"/>
      <c r="H105" s="11" t="s">
        <v>82</v>
      </c>
      <c r="I105" s="6" t="str">
        <f>TRIM(SUBSTITUTE(INDEX([1]ТУ!$A:$G,MATCH($A105,[1]ТУ!$A:$A,0),3+I$7),"*",""))</f>
        <v>Задаваемый параметр</v>
      </c>
      <c r="J105" s="6" t="str">
        <f>TRIM(SUBSTITUTE(INDEX([1]ТУ!$A:$G,MATCH($A105,[1]ТУ!$A:$A,0),3+J$7),"*",""))</f>
        <v/>
      </c>
      <c r="K105" s="6" t="str">
        <f>TRIM(SUBSTITUTE(INDEX([1]ТУ!$A:$G,MATCH($A105,[1]ТУ!$A:$A,0),3+K$7),"*",""))</f>
        <v/>
      </c>
      <c r="L105" s="6" t="str">
        <f>TRIM(SUBSTITUTE(INDEX([1]ТУ!$A:$G,MATCH($A105,[1]ТУ!$A:$A,0),3+L$7),"*",""))</f>
        <v/>
      </c>
      <c r="M105" s="7" t="str">
        <f t="shared" si="5"/>
        <v/>
      </c>
      <c r="N105" s="7" t="str">
        <f t="shared" si="6"/>
        <v/>
      </c>
      <c r="O105" s="7" t="str">
        <f t="shared" si="7"/>
        <v/>
      </c>
      <c r="P105" s="7" t="str">
        <f t="shared" si="8"/>
        <v/>
      </c>
    </row>
    <row r="106" spans="1:16" x14ac:dyDescent="0.25">
      <c r="A106" s="11"/>
      <c r="B106" s="11"/>
      <c r="C106" s="11"/>
      <c r="D106" s="11"/>
      <c r="E106" s="11"/>
      <c r="F106" s="11"/>
      <c r="G106" s="11"/>
      <c r="H106" s="11"/>
      <c r="I106" s="6" t="e">
        <f>TRIM(SUBSTITUTE(INDEX([1]ТУ!$A:$G,MATCH($A106,[1]ТУ!$A:$A,0),3+I$7),"*",""))</f>
        <v>#N/A</v>
      </c>
      <c r="J106" s="6" t="e">
        <f>TRIM(SUBSTITUTE(INDEX([1]ТУ!$A:$G,MATCH($A106,[1]ТУ!$A:$A,0),3+J$7),"*",""))</f>
        <v>#N/A</v>
      </c>
      <c r="K106" s="6" t="e">
        <f>TRIM(SUBSTITUTE(INDEX([1]ТУ!$A:$G,MATCH($A106,[1]ТУ!$A:$A,0),3+K$7),"*",""))</f>
        <v>#N/A</v>
      </c>
      <c r="L106" s="6" t="e">
        <f>TRIM(SUBSTITUTE(INDEX([1]ТУ!$A:$G,MATCH($A106,[1]ТУ!$A:$A,0),3+L$7),"*",""))</f>
        <v>#N/A</v>
      </c>
      <c r="M106" s="7" t="str">
        <f t="shared" si="5"/>
        <v/>
      </c>
      <c r="N106" s="7" t="str">
        <f t="shared" si="6"/>
        <v/>
      </c>
      <c r="O106" s="7" t="str">
        <f t="shared" si="7"/>
        <v/>
      </c>
      <c r="P106" s="7" t="str">
        <f t="shared" si="8"/>
        <v/>
      </c>
    </row>
    <row r="107" spans="1:16" x14ac:dyDescent="0.25">
      <c r="A107" s="4" t="s">
        <v>262</v>
      </c>
      <c r="B107" s="2" t="s">
        <v>263</v>
      </c>
      <c r="C107" s="2" t="s">
        <v>264</v>
      </c>
      <c r="D107" s="8" t="s">
        <v>265</v>
      </c>
      <c r="E107" s="8"/>
      <c r="F107" s="8"/>
      <c r="G107" s="8"/>
      <c r="H107" s="2" t="s">
        <v>266</v>
      </c>
      <c r="I107" s="6" t="str">
        <f>TRIM(SUBSTITUTE(INDEX([1]ТУ!$A:$G,MATCH($A107,[1]ТУ!$A:$A,0),3+I$7),"*",""))</f>
        <v>22.7 В</v>
      </c>
      <c r="J107" s="6" t="str">
        <f>TRIM(SUBSTITUTE(INDEX([1]ТУ!$A:$G,MATCH($A107,[1]ТУ!$A:$A,0),3+J$7),"*",""))</f>
        <v/>
      </c>
      <c r="K107" s="6" t="str">
        <f>TRIM(SUBSTITUTE(INDEX([1]ТУ!$A:$G,MATCH($A107,[1]ТУ!$A:$A,0),3+K$7),"*",""))</f>
        <v/>
      </c>
      <c r="L107" s="6" t="str">
        <f>TRIM(SUBSTITUTE(INDEX([1]ТУ!$A:$G,MATCH($A107,[1]ТУ!$A:$A,0),3+L$7),"*",""))</f>
        <v/>
      </c>
      <c r="M107" s="7" t="str">
        <f t="shared" si="5"/>
        <v/>
      </c>
      <c r="N107" s="7" t="str">
        <f t="shared" si="6"/>
        <v/>
      </c>
      <c r="O107" s="7" t="str">
        <f t="shared" si="7"/>
        <v/>
      </c>
      <c r="P107" s="7" t="str">
        <f t="shared" si="8"/>
        <v/>
      </c>
    </row>
    <row r="108" spans="1:16" x14ac:dyDescent="0.25">
      <c r="A108" s="4" t="s">
        <v>267</v>
      </c>
      <c r="B108" s="2" t="s">
        <v>268</v>
      </c>
      <c r="C108" s="2" t="s">
        <v>269</v>
      </c>
      <c r="D108" s="14" t="s">
        <v>270</v>
      </c>
      <c r="E108" s="14"/>
      <c r="F108" s="14"/>
      <c r="G108" s="14"/>
      <c r="H108" s="2" t="s">
        <v>271</v>
      </c>
      <c r="I108" s="6" t="str">
        <f>TRIM(SUBSTITUTE(INDEX([1]ТУ!$A:$G,MATCH($A108,[1]ТУ!$A:$A,0),3+I$7),"*",""))</f>
        <v>0.4 Гц</v>
      </c>
      <c r="J108" s="6" t="str">
        <f>TRIM(SUBSTITUTE(INDEX([1]ТУ!$A:$G,MATCH($A108,[1]ТУ!$A:$A,0),3+J$7),"*",""))</f>
        <v/>
      </c>
      <c r="K108" s="6" t="str">
        <f>TRIM(SUBSTITUTE(INDEX([1]ТУ!$A:$G,MATCH($A108,[1]ТУ!$A:$A,0),3+K$7),"*",""))</f>
        <v/>
      </c>
      <c r="L108" s="6" t="str">
        <f>TRIM(SUBSTITUTE(INDEX([1]ТУ!$A:$G,MATCH($A108,[1]ТУ!$A:$A,0),3+L$7),"*",""))</f>
        <v/>
      </c>
      <c r="M108" s="7">
        <f t="shared" si="5"/>
        <v>1</v>
      </c>
      <c r="N108" s="7" t="str">
        <f t="shared" si="6"/>
        <v/>
      </c>
      <c r="O108" s="7" t="str">
        <f t="shared" si="7"/>
        <v/>
      </c>
      <c r="P108" s="7" t="str">
        <f t="shared" si="8"/>
        <v/>
      </c>
    </row>
    <row r="109" spans="1:16" x14ac:dyDescent="0.25">
      <c r="A109" s="12" t="s">
        <v>272</v>
      </c>
      <c r="B109" s="12"/>
      <c r="C109" s="12"/>
      <c r="D109" s="12"/>
      <c r="E109" s="12"/>
      <c r="F109" s="12"/>
      <c r="G109" s="12"/>
      <c r="H109" s="12"/>
      <c r="I109" s="6" t="str">
        <f>TRIM(SUBSTITUTE(INDEX([1]ТУ!$A:$G,MATCH($A109,[1]ТУ!$A:$A,0),3+I$7),"*",""))</f>
        <v/>
      </c>
      <c r="J109" s="6" t="str">
        <f>TRIM(SUBSTITUTE(INDEX([1]ТУ!$A:$G,MATCH($A109,[1]ТУ!$A:$A,0),3+J$7),"*",""))</f>
        <v/>
      </c>
      <c r="K109" s="6" t="str">
        <f>TRIM(SUBSTITUTE(INDEX([1]ТУ!$A:$G,MATCH($A109,[1]ТУ!$A:$A,0),3+K$7),"*",""))</f>
        <v/>
      </c>
      <c r="L109" s="6" t="str">
        <f>TRIM(SUBSTITUTE(INDEX([1]ТУ!$A:$G,MATCH($A109,[1]ТУ!$A:$A,0),3+L$7),"*",""))</f>
        <v/>
      </c>
      <c r="M109" s="7" t="str">
        <f t="shared" si="5"/>
        <v/>
      </c>
      <c r="N109" s="7" t="str">
        <f t="shared" si="6"/>
        <v/>
      </c>
      <c r="O109" s="7" t="str">
        <f t="shared" si="7"/>
        <v/>
      </c>
      <c r="P109" s="7" t="str">
        <f t="shared" si="8"/>
        <v/>
      </c>
    </row>
    <row r="110" spans="1:16" x14ac:dyDescent="0.25">
      <c r="A110" s="11" t="s">
        <v>78</v>
      </c>
      <c r="B110" s="11" t="s">
        <v>79</v>
      </c>
      <c r="C110" s="11" t="s">
        <v>80</v>
      </c>
      <c r="D110" s="11" t="s">
        <v>81</v>
      </c>
      <c r="E110" s="11"/>
      <c r="F110" s="11"/>
      <c r="G110" s="11"/>
      <c r="H110" s="11" t="s">
        <v>82</v>
      </c>
      <c r="I110" s="6" t="str">
        <f>TRIM(SUBSTITUTE(INDEX([1]ТУ!$A:$G,MATCH($A110,[1]ТУ!$A:$A,0),3+I$7),"*",""))</f>
        <v>Задаваемый параметр</v>
      </c>
      <c r="J110" s="6" t="str">
        <f>TRIM(SUBSTITUTE(INDEX([1]ТУ!$A:$G,MATCH($A110,[1]ТУ!$A:$A,0),3+J$7),"*",""))</f>
        <v/>
      </c>
      <c r="K110" s="6" t="str">
        <f>TRIM(SUBSTITUTE(INDEX([1]ТУ!$A:$G,MATCH($A110,[1]ТУ!$A:$A,0),3+K$7),"*",""))</f>
        <v/>
      </c>
      <c r="L110" s="6" t="str">
        <f>TRIM(SUBSTITUTE(INDEX([1]ТУ!$A:$G,MATCH($A110,[1]ТУ!$A:$A,0),3+L$7),"*",""))</f>
        <v/>
      </c>
      <c r="M110" s="7" t="str">
        <f t="shared" si="5"/>
        <v/>
      </c>
      <c r="N110" s="7" t="str">
        <f t="shared" si="6"/>
        <v/>
      </c>
      <c r="O110" s="7" t="str">
        <f t="shared" si="7"/>
        <v/>
      </c>
      <c r="P110" s="7" t="str">
        <f t="shared" si="8"/>
        <v/>
      </c>
    </row>
    <row r="111" spans="1:16" x14ac:dyDescent="0.25">
      <c r="A111" s="11"/>
      <c r="B111" s="11"/>
      <c r="C111" s="11"/>
      <c r="D111" s="11"/>
      <c r="E111" s="11"/>
      <c r="F111" s="11"/>
      <c r="G111" s="11"/>
      <c r="H111" s="11"/>
      <c r="I111" s="6" t="e">
        <f>TRIM(SUBSTITUTE(INDEX([1]ТУ!$A:$G,MATCH($A111,[1]ТУ!$A:$A,0),3+I$7),"*",""))</f>
        <v>#N/A</v>
      </c>
      <c r="J111" s="6" t="e">
        <f>TRIM(SUBSTITUTE(INDEX([1]ТУ!$A:$G,MATCH($A111,[1]ТУ!$A:$A,0),3+J$7),"*",""))</f>
        <v>#N/A</v>
      </c>
      <c r="K111" s="6" t="e">
        <f>TRIM(SUBSTITUTE(INDEX([1]ТУ!$A:$G,MATCH($A111,[1]ТУ!$A:$A,0),3+K$7),"*",""))</f>
        <v>#N/A</v>
      </c>
      <c r="L111" s="6" t="e">
        <f>TRIM(SUBSTITUTE(INDEX([1]ТУ!$A:$G,MATCH($A111,[1]ТУ!$A:$A,0),3+L$7),"*",""))</f>
        <v>#N/A</v>
      </c>
      <c r="M111" s="7" t="str">
        <f t="shared" si="5"/>
        <v/>
      </c>
      <c r="N111" s="7" t="str">
        <f t="shared" si="6"/>
        <v/>
      </c>
      <c r="O111" s="7" t="str">
        <f t="shared" si="7"/>
        <v/>
      </c>
      <c r="P111" s="7" t="str">
        <f t="shared" si="8"/>
        <v/>
      </c>
    </row>
    <row r="112" spans="1:16" x14ac:dyDescent="0.25">
      <c r="A112" s="4" t="s">
        <v>273</v>
      </c>
      <c r="B112" s="2" t="s">
        <v>274</v>
      </c>
      <c r="C112" s="2" t="s">
        <v>275</v>
      </c>
      <c r="D112" s="8" t="s">
        <v>276</v>
      </c>
      <c r="E112" s="8"/>
      <c r="F112" s="8"/>
      <c r="G112" s="8"/>
      <c r="H112" s="2" t="s">
        <v>277</v>
      </c>
      <c r="I112" s="6" t="str">
        <f>TRIM(SUBSTITUTE(INDEX([1]ТУ!$A:$G,MATCH($A112,[1]ТУ!$A:$A,0),3+I$7),"*",""))</f>
        <v>40 мГц</v>
      </c>
      <c r="J112" s="6" t="str">
        <f>TRIM(SUBSTITUTE(INDEX([1]ТУ!$A:$G,MATCH($A112,[1]ТУ!$A:$A,0),3+J$7),"*",""))</f>
        <v/>
      </c>
      <c r="K112" s="6" t="str">
        <f>TRIM(SUBSTITUTE(INDEX([1]ТУ!$A:$G,MATCH($A112,[1]ТУ!$A:$A,0),3+K$7),"*",""))</f>
        <v/>
      </c>
      <c r="L112" s="6" t="str">
        <f>TRIM(SUBSTITUTE(INDEX([1]ТУ!$A:$G,MATCH($A112,[1]ТУ!$A:$A,0),3+L$7),"*",""))</f>
        <v/>
      </c>
      <c r="M112" s="7" t="str">
        <f t="shared" si="5"/>
        <v/>
      </c>
      <c r="N112" s="7" t="str">
        <f t="shared" si="6"/>
        <v/>
      </c>
      <c r="O112" s="7" t="str">
        <f t="shared" si="7"/>
        <v/>
      </c>
      <c r="P112" s="7" t="str">
        <f t="shared" si="8"/>
        <v/>
      </c>
    </row>
    <row r="113" spans="1:16" ht="30" x14ac:dyDescent="0.25">
      <c r="A113" s="4" t="s">
        <v>278</v>
      </c>
      <c r="B113" s="2" t="s">
        <v>279</v>
      </c>
      <c r="C113" s="2" t="s">
        <v>264</v>
      </c>
      <c r="D113" s="8" t="s">
        <v>265</v>
      </c>
      <c r="E113" s="8"/>
      <c r="F113" s="8"/>
      <c r="G113" s="8"/>
      <c r="H113" s="2" t="s">
        <v>280</v>
      </c>
      <c r="I113" s="6" t="str">
        <f>TRIM(SUBSTITUTE(INDEX([1]ТУ!$A:$G,MATCH($A113,[1]ТУ!$A:$A,0),3+I$7),"*",""))</f>
        <v>22.7 В</v>
      </c>
      <c r="J113" s="6" t="str">
        <f>TRIM(SUBSTITUTE(INDEX([1]ТУ!$A:$G,MATCH($A113,[1]ТУ!$A:$A,0),3+J$7),"*",""))</f>
        <v/>
      </c>
      <c r="K113" s="6" t="str">
        <f>TRIM(SUBSTITUTE(INDEX([1]ТУ!$A:$G,MATCH($A113,[1]ТУ!$A:$A,0),3+K$7),"*",""))</f>
        <v/>
      </c>
      <c r="L113" s="6" t="str">
        <f>TRIM(SUBSTITUTE(INDEX([1]ТУ!$A:$G,MATCH($A113,[1]ТУ!$A:$A,0),3+L$7),"*",""))</f>
        <v/>
      </c>
      <c r="M113" s="7" t="str">
        <f t="shared" si="5"/>
        <v/>
      </c>
      <c r="N113" s="7" t="str">
        <f t="shared" si="6"/>
        <v/>
      </c>
      <c r="O113" s="7" t="str">
        <f t="shared" si="7"/>
        <v/>
      </c>
      <c r="P113" s="7" t="str">
        <f t="shared" si="8"/>
        <v/>
      </c>
    </row>
    <row r="114" spans="1:16" x14ac:dyDescent="0.25">
      <c r="A114" s="4" t="s">
        <v>281</v>
      </c>
      <c r="B114" s="2" t="s">
        <v>285</v>
      </c>
      <c r="C114" s="2" t="s">
        <v>282</v>
      </c>
      <c r="D114" s="8" t="s">
        <v>283</v>
      </c>
      <c r="E114" s="8"/>
      <c r="F114" s="8"/>
      <c r="G114" s="8"/>
      <c r="H114" s="2" t="s">
        <v>284</v>
      </c>
      <c r="I114" s="6" t="str">
        <f>TRIM(SUBSTITUTE(INDEX([1]ТУ!$A:$G,MATCH($A114,[1]ТУ!$A:$A,0),3+I$7),"*",""))</f>
        <v>40 °</v>
      </c>
      <c r="J114" s="6" t="str">
        <f>TRIM(SUBSTITUTE(INDEX([1]ТУ!$A:$G,MATCH($A114,[1]ТУ!$A:$A,0),3+J$7),"*",""))</f>
        <v/>
      </c>
      <c r="K114" s="6" t="str">
        <f>TRIM(SUBSTITUTE(INDEX([1]ТУ!$A:$G,MATCH($A114,[1]ТУ!$A:$A,0),3+K$7),"*",""))</f>
        <v/>
      </c>
      <c r="L114" s="6" t="str">
        <f>TRIM(SUBSTITUTE(INDEX([1]ТУ!$A:$G,MATCH($A114,[1]ТУ!$A:$A,0),3+L$7),"*",""))</f>
        <v/>
      </c>
      <c r="M114" s="7" t="str">
        <f t="shared" si="5"/>
        <v/>
      </c>
      <c r="N114" s="7" t="str">
        <f t="shared" si="6"/>
        <v/>
      </c>
      <c r="O114" s="7" t="str">
        <f t="shared" si="7"/>
        <v/>
      </c>
      <c r="P114" s="7" t="str">
        <f t="shared" si="8"/>
        <v/>
      </c>
    </row>
    <row r="115" spans="1:16" x14ac:dyDescent="0.25">
      <c r="A115" s="4" t="s">
        <v>286</v>
      </c>
      <c r="B115" s="2" t="s">
        <v>287</v>
      </c>
      <c r="C115" s="2" t="s">
        <v>288</v>
      </c>
      <c r="D115" s="8" t="s">
        <v>289</v>
      </c>
      <c r="E115" s="8"/>
      <c r="F115" s="8"/>
      <c r="G115" s="8"/>
      <c r="H115" s="2" t="s">
        <v>290</v>
      </c>
      <c r="I115" s="6" t="str">
        <f>TRIM(SUBSTITUTE(INDEX([1]ТУ!$A:$G,MATCH($A115,[1]ТУ!$A:$A,0),3+I$7),"*",""))</f>
        <v>0.3 сек</v>
      </c>
      <c r="J115" s="6" t="str">
        <f>TRIM(SUBSTITUTE(INDEX([1]ТУ!$A:$G,MATCH($A115,[1]ТУ!$A:$A,0),3+J$7),"*",""))</f>
        <v/>
      </c>
      <c r="K115" s="6" t="str">
        <f>TRIM(SUBSTITUTE(INDEX([1]ТУ!$A:$G,MATCH($A115,[1]ТУ!$A:$A,0),3+K$7),"*",""))</f>
        <v/>
      </c>
      <c r="L115" s="6" t="str">
        <f>TRIM(SUBSTITUTE(INDEX([1]ТУ!$A:$G,MATCH($A115,[1]ТУ!$A:$A,0),3+L$7),"*",""))</f>
        <v/>
      </c>
      <c r="M115" s="7">
        <f t="shared" si="5"/>
        <v>1</v>
      </c>
      <c r="N115" s="7" t="str">
        <f t="shared" si="6"/>
        <v/>
      </c>
      <c r="O115" s="7" t="str">
        <f t="shared" si="7"/>
        <v/>
      </c>
      <c r="P115" s="7" t="str">
        <f t="shared" si="8"/>
        <v/>
      </c>
    </row>
    <row r="116" spans="1:16" ht="17.25" x14ac:dyDescent="0.25">
      <c r="A116" s="10" t="s">
        <v>291</v>
      </c>
      <c r="B116" s="10"/>
      <c r="C116" s="10"/>
      <c r="D116" s="10"/>
      <c r="E116" s="10"/>
      <c r="F116" s="10"/>
      <c r="G116" s="10"/>
      <c r="H116" s="10"/>
      <c r="I116" s="6" t="str">
        <f>TRIM(SUBSTITUTE(INDEX([1]ТУ!$A:$G,MATCH($A116,[1]ТУ!$A:$A,0),3+I$7),"*",""))</f>
        <v/>
      </c>
      <c r="J116" s="6" t="str">
        <f>TRIM(SUBSTITUTE(INDEX([1]ТУ!$A:$G,MATCH($A116,[1]ТУ!$A:$A,0),3+J$7),"*",""))</f>
        <v/>
      </c>
      <c r="K116" s="6" t="str">
        <f>TRIM(SUBSTITUTE(INDEX([1]ТУ!$A:$G,MATCH($A116,[1]ТУ!$A:$A,0),3+K$7),"*",""))</f>
        <v/>
      </c>
      <c r="L116" s="6" t="str">
        <f>TRIM(SUBSTITUTE(INDEX([1]ТУ!$A:$G,MATCH($A116,[1]ТУ!$A:$A,0),3+L$7),"*",""))</f>
        <v/>
      </c>
      <c r="M116" s="7" t="str">
        <f t="shared" si="5"/>
        <v/>
      </c>
      <c r="N116" s="7" t="str">
        <f t="shared" si="6"/>
        <v/>
      </c>
      <c r="O116" s="7" t="str">
        <f t="shared" si="7"/>
        <v/>
      </c>
      <c r="P116" s="7" t="str">
        <f t="shared" si="8"/>
        <v/>
      </c>
    </row>
    <row r="117" spans="1:16" x14ac:dyDescent="0.25">
      <c r="A117" s="12" t="s">
        <v>200</v>
      </c>
      <c r="B117" s="12"/>
      <c r="C117" s="12"/>
      <c r="D117" s="12"/>
      <c r="E117" s="12"/>
      <c r="F117" s="12"/>
      <c r="G117" s="12"/>
      <c r="H117" s="12"/>
      <c r="I117" s="6" t="str">
        <f>TRIM(SUBSTITUTE(INDEX([1]ТУ!$A:$G,MATCH($A117,[1]ТУ!$A:$A,0),3+I$7),"*",""))</f>
        <v/>
      </c>
      <c r="J117" s="6" t="str">
        <f>TRIM(SUBSTITUTE(INDEX([1]ТУ!$A:$G,MATCH($A117,[1]ТУ!$A:$A,0),3+J$7),"*",""))</f>
        <v/>
      </c>
      <c r="K117" s="6" t="str">
        <f>TRIM(SUBSTITUTE(INDEX([1]ТУ!$A:$G,MATCH($A117,[1]ТУ!$A:$A,0),3+K$7),"*",""))</f>
        <v/>
      </c>
      <c r="L117" s="6" t="str">
        <f>TRIM(SUBSTITUTE(INDEX([1]ТУ!$A:$G,MATCH($A117,[1]ТУ!$A:$A,0),3+L$7),"*",""))</f>
        <v/>
      </c>
      <c r="M117" s="7" t="str">
        <f t="shared" si="5"/>
        <v/>
      </c>
      <c r="N117" s="7" t="str">
        <f t="shared" si="6"/>
        <v/>
      </c>
      <c r="O117" s="7" t="str">
        <f t="shared" si="7"/>
        <v/>
      </c>
      <c r="P117" s="7" t="str">
        <f t="shared" si="8"/>
        <v/>
      </c>
    </row>
    <row r="118" spans="1:16" x14ac:dyDescent="0.25">
      <c r="A118" s="11" t="s">
        <v>78</v>
      </c>
      <c r="B118" s="11" t="s">
        <v>79</v>
      </c>
      <c r="C118" s="11" t="s">
        <v>80</v>
      </c>
      <c r="D118" s="11" t="s">
        <v>81</v>
      </c>
      <c r="E118" s="11"/>
      <c r="F118" s="11"/>
      <c r="G118" s="11"/>
      <c r="H118" s="11" t="s">
        <v>82</v>
      </c>
      <c r="I118" s="6" t="str">
        <f>TRIM(SUBSTITUTE(INDEX([1]ТУ!$A:$G,MATCH($A118,[1]ТУ!$A:$A,0),3+I$7),"*",""))</f>
        <v>Задаваемый параметр</v>
      </c>
      <c r="J118" s="6" t="str">
        <f>TRIM(SUBSTITUTE(INDEX([1]ТУ!$A:$G,MATCH($A118,[1]ТУ!$A:$A,0),3+J$7),"*",""))</f>
        <v/>
      </c>
      <c r="K118" s="6" t="str">
        <f>TRIM(SUBSTITUTE(INDEX([1]ТУ!$A:$G,MATCH($A118,[1]ТУ!$A:$A,0),3+K$7),"*",""))</f>
        <v/>
      </c>
      <c r="L118" s="6" t="str">
        <f>TRIM(SUBSTITUTE(INDEX([1]ТУ!$A:$G,MATCH($A118,[1]ТУ!$A:$A,0),3+L$7),"*",""))</f>
        <v/>
      </c>
      <c r="M118" s="7" t="str">
        <f t="shared" si="5"/>
        <v/>
      </c>
      <c r="N118" s="7" t="str">
        <f t="shared" si="6"/>
        <v/>
      </c>
      <c r="O118" s="7" t="str">
        <f t="shared" si="7"/>
        <v/>
      </c>
      <c r="P118" s="7" t="str">
        <f t="shared" si="8"/>
        <v/>
      </c>
    </row>
    <row r="119" spans="1:16" x14ac:dyDescent="0.25">
      <c r="A119" s="11"/>
      <c r="B119" s="11"/>
      <c r="C119" s="11"/>
      <c r="D119" s="11"/>
      <c r="E119" s="11"/>
      <c r="F119" s="11"/>
      <c r="G119" s="11"/>
      <c r="H119" s="11"/>
      <c r="I119" s="6" t="e">
        <f>TRIM(SUBSTITUTE(INDEX([1]ТУ!$A:$G,MATCH($A119,[1]ТУ!$A:$A,0),3+I$7),"*",""))</f>
        <v>#N/A</v>
      </c>
      <c r="J119" s="6" t="e">
        <f>TRIM(SUBSTITUTE(INDEX([1]ТУ!$A:$G,MATCH($A119,[1]ТУ!$A:$A,0),3+J$7),"*",""))</f>
        <v>#N/A</v>
      </c>
      <c r="K119" s="6" t="e">
        <f>TRIM(SUBSTITUTE(INDEX([1]ТУ!$A:$G,MATCH($A119,[1]ТУ!$A:$A,0),3+K$7),"*",""))</f>
        <v>#N/A</v>
      </c>
      <c r="L119" s="6" t="e">
        <f>TRIM(SUBSTITUTE(INDEX([1]ТУ!$A:$G,MATCH($A119,[1]ТУ!$A:$A,0),3+L$7),"*",""))</f>
        <v>#N/A</v>
      </c>
      <c r="M119" s="7" t="str">
        <f t="shared" si="5"/>
        <v/>
      </c>
      <c r="N119" s="7" t="str">
        <f t="shared" si="6"/>
        <v/>
      </c>
      <c r="O119" s="7" t="str">
        <f t="shared" si="7"/>
        <v/>
      </c>
      <c r="P119" s="7" t="str">
        <f t="shared" si="8"/>
        <v/>
      </c>
    </row>
    <row r="120" spans="1:16" x14ac:dyDescent="0.25">
      <c r="A120" s="4" t="s">
        <v>292</v>
      </c>
      <c r="B120" s="2" t="s">
        <v>202</v>
      </c>
      <c r="C120" s="2" t="s">
        <v>203</v>
      </c>
      <c r="D120" s="8" t="s">
        <v>204</v>
      </c>
      <c r="E120" s="8"/>
      <c r="F120" s="8"/>
      <c r="G120" s="8"/>
      <c r="H120" s="2" t="s">
        <v>205</v>
      </c>
      <c r="I120" s="6" t="str">
        <f>TRIM(SUBSTITUTE(INDEX([1]ТУ!$A:$G,MATCH($A120,[1]ТУ!$A:$A,0),3+I$7),"*",""))</f>
        <v>0.06 сек</v>
      </c>
      <c r="J120" s="6" t="str">
        <f>TRIM(SUBSTITUTE(INDEX([1]ТУ!$A:$G,MATCH($A120,[1]ТУ!$A:$A,0),3+J$7),"*",""))</f>
        <v/>
      </c>
      <c r="K120" s="6" t="str">
        <f>TRIM(SUBSTITUTE(INDEX([1]ТУ!$A:$G,MATCH($A120,[1]ТУ!$A:$A,0),3+K$7),"*",""))</f>
        <v/>
      </c>
      <c r="L120" s="6" t="str">
        <f>TRIM(SUBSTITUTE(INDEX([1]ТУ!$A:$G,MATCH($A120,[1]ТУ!$A:$A,0),3+L$7),"*",""))</f>
        <v/>
      </c>
      <c r="M120" s="7" t="str">
        <f t="shared" si="5"/>
        <v/>
      </c>
      <c r="N120" s="7" t="str">
        <f t="shared" si="6"/>
        <v/>
      </c>
      <c r="O120" s="7" t="str">
        <f t="shared" si="7"/>
        <v/>
      </c>
      <c r="P120" s="7" t="str">
        <f t="shared" si="8"/>
        <v/>
      </c>
    </row>
    <row r="121" spans="1:16" x14ac:dyDescent="0.25">
      <c r="A121" s="4" t="s">
        <v>293</v>
      </c>
      <c r="B121" s="2" t="s">
        <v>207</v>
      </c>
      <c r="C121" s="2" t="s">
        <v>208</v>
      </c>
      <c r="D121" s="8" t="s">
        <v>209</v>
      </c>
      <c r="E121" s="8"/>
      <c r="F121" s="8"/>
      <c r="G121" s="8"/>
      <c r="H121" s="2" t="s">
        <v>210</v>
      </c>
      <c r="I121" s="6" t="str">
        <f>TRIM(SUBSTITUTE(INDEX([1]ТУ!$A:$G,MATCH($A121,[1]ТУ!$A:$A,0),3+I$7),"*",""))</f>
        <v>1</v>
      </c>
      <c r="J121" s="6" t="str">
        <f>TRIM(SUBSTITUTE(INDEX([1]ТУ!$A:$G,MATCH($A121,[1]ТУ!$A:$A,0),3+J$7),"*",""))</f>
        <v/>
      </c>
      <c r="K121" s="6" t="str">
        <f>TRIM(SUBSTITUTE(INDEX([1]ТУ!$A:$G,MATCH($A121,[1]ТУ!$A:$A,0),3+K$7),"*",""))</f>
        <v/>
      </c>
      <c r="L121" s="6" t="str">
        <f>TRIM(SUBSTITUTE(INDEX([1]ТУ!$A:$G,MATCH($A121,[1]ТУ!$A:$A,0),3+L$7),"*",""))</f>
        <v/>
      </c>
      <c r="M121" s="7">
        <f t="shared" si="5"/>
        <v>1</v>
      </c>
      <c r="N121" s="7" t="str">
        <f t="shared" si="6"/>
        <v/>
      </c>
      <c r="O121" s="7" t="str">
        <f t="shared" si="7"/>
        <v/>
      </c>
      <c r="P121" s="7" t="str">
        <f t="shared" si="8"/>
        <v/>
      </c>
    </row>
    <row r="122" spans="1:16" x14ac:dyDescent="0.25">
      <c r="A122" s="4" t="s">
        <v>294</v>
      </c>
      <c r="B122" s="2" t="s">
        <v>212</v>
      </c>
      <c r="C122" s="2" t="s">
        <v>213</v>
      </c>
      <c r="D122" s="8" t="s">
        <v>214</v>
      </c>
      <c r="E122" s="8"/>
      <c r="F122" s="8"/>
      <c r="G122" s="8"/>
      <c r="H122" s="2" t="s">
        <v>215</v>
      </c>
      <c r="I122" s="6" t="str">
        <f>TRIM(SUBSTITUTE(INDEX([1]ТУ!$A:$G,MATCH($A122,[1]ТУ!$A:$A,0),3+I$7),"*",""))</f>
        <v>330 °</v>
      </c>
      <c r="J122" s="6" t="str">
        <f>TRIM(SUBSTITUTE(INDEX([1]ТУ!$A:$G,MATCH($A122,[1]ТУ!$A:$A,0),3+J$7),"*",""))</f>
        <v/>
      </c>
      <c r="K122" s="6" t="str">
        <f>TRIM(SUBSTITUTE(INDEX([1]ТУ!$A:$G,MATCH($A122,[1]ТУ!$A:$A,0),3+K$7),"*",""))</f>
        <v/>
      </c>
      <c r="L122" s="6" t="str">
        <f>TRIM(SUBSTITUTE(INDEX([1]ТУ!$A:$G,MATCH($A122,[1]ТУ!$A:$A,0),3+L$7),"*",""))</f>
        <v/>
      </c>
      <c r="M122" s="7" t="str">
        <f t="shared" si="5"/>
        <v/>
      </c>
      <c r="N122" s="7" t="str">
        <f t="shared" si="6"/>
        <v/>
      </c>
      <c r="O122" s="7" t="str">
        <f t="shared" si="7"/>
        <v/>
      </c>
      <c r="P122" s="7" t="str">
        <f t="shared" si="8"/>
        <v/>
      </c>
    </row>
    <row r="123" spans="1:16" x14ac:dyDescent="0.25">
      <c r="A123" s="4" t="s">
        <v>295</v>
      </c>
      <c r="B123" s="2" t="s">
        <v>217</v>
      </c>
      <c r="C123" s="2" t="s">
        <v>218</v>
      </c>
      <c r="D123" s="8" t="s">
        <v>189</v>
      </c>
      <c r="E123" s="8"/>
      <c r="F123" s="8"/>
      <c r="G123" s="8"/>
      <c r="H123" s="2" t="s">
        <v>219</v>
      </c>
      <c r="I123" s="6" t="str">
        <f>TRIM(SUBSTITUTE(INDEX([1]ТУ!$A:$G,MATCH($A123,[1]ТУ!$A:$A,0),3+I$7),"*",""))</f>
        <v>100 В</v>
      </c>
      <c r="J123" s="6" t="str">
        <f>TRIM(SUBSTITUTE(INDEX([1]ТУ!$A:$G,MATCH($A123,[1]ТУ!$A:$A,0),3+J$7),"*",""))</f>
        <v/>
      </c>
      <c r="K123" s="6" t="str">
        <f>TRIM(SUBSTITUTE(INDEX([1]ТУ!$A:$G,MATCH($A123,[1]ТУ!$A:$A,0),3+K$7),"*",""))</f>
        <v/>
      </c>
      <c r="L123" s="6" t="str">
        <f>TRIM(SUBSTITUTE(INDEX([1]ТУ!$A:$G,MATCH($A123,[1]ТУ!$A:$A,0),3+L$7),"*",""))</f>
        <v/>
      </c>
      <c r="M123" s="7">
        <f t="shared" si="5"/>
        <v>1</v>
      </c>
      <c r="N123" s="7" t="str">
        <f t="shared" si="6"/>
        <v/>
      </c>
      <c r="O123" s="7" t="str">
        <f t="shared" si="7"/>
        <v/>
      </c>
      <c r="P123" s="7" t="str">
        <f t="shared" si="8"/>
        <v/>
      </c>
    </row>
    <row r="124" spans="1:16" x14ac:dyDescent="0.25">
      <c r="A124" s="4" t="s">
        <v>296</v>
      </c>
      <c r="B124" s="2" t="s">
        <v>221</v>
      </c>
      <c r="C124" s="2" t="s">
        <v>218</v>
      </c>
      <c r="D124" s="8" t="s">
        <v>189</v>
      </c>
      <c r="E124" s="8"/>
      <c r="F124" s="8"/>
      <c r="G124" s="8"/>
      <c r="H124" s="2" t="s">
        <v>219</v>
      </c>
      <c r="I124" s="6" t="str">
        <f>TRIM(SUBSTITUTE(INDEX([1]ТУ!$A:$G,MATCH($A124,[1]ТУ!$A:$A,0),3+I$7),"*",""))</f>
        <v>100 В</v>
      </c>
      <c r="J124" s="6" t="str">
        <f>TRIM(SUBSTITUTE(INDEX([1]ТУ!$A:$G,MATCH($A124,[1]ТУ!$A:$A,0),3+J$7),"*",""))</f>
        <v/>
      </c>
      <c r="K124" s="6" t="str">
        <f>TRIM(SUBSTITUTE(INDEX([1]ТУ!$A:$G,MATCH($A124,[1]ТУ!$A:$A,0),3+K$7),"*",""))</f>
        <v/>
      </c>
      <c r="L124" s="6" t="str">
        <f>TRIM(SUBSTITUTE(INDEX([1]ТУ!$A:$G,MATCH($A124,[1]ТУ!$A:$A,0),3+L$7),"*",""))</f>
        <v/>
      </c>
      <c r="M124" s="7">
        <f t="shared" si="5"/>
        <v>1</v>
      </c>
      <c r="N124" s="7" t="str">
        <f t="shared" si="6"/>
        <v/>
      </c>
      <c r="O124" s="7" t="str">
        <f t="shared" si="7"/>
        <v/>
      </c>
      <c r="P124" s="7" t="str">
        <f t="shared" si="8"/>
        <v/>
      </c>
    </row>
    <row r="125" spans="1:16" x14ac:dyDescent="0.25">
      <c r="A125" s="12" t="s">
        <v>84</v>
      </c>
      <c r="B125" s="12"/>
      <c r="C125" s="12"/>
      <c r="D125" s="12"/>
      <c r="E125" s="12"/>
      <c r="F125" s="12"/>
      <c r="G125" s="12"/>
      <c r="H125" s="12"/>
      <c r="I125" s="6" t="str">
        <f>TRIM(SUBSTITUTE(INDEX([1]ТУ!$A:$G,MATCH($A125,[1]ТУ!$A:$A,0),3+I$7),"*",""))</f>
        <v/>
      </c>
      <c r="J125" s="6" t="str">
        <f>TRIM(SUBSTITUTE(INDEX([1]ТУ!$A:$G,MATCH($A125,[1]ТУ!$A:$A,0),3+J$7),"*",""))</f>
        <v/>
      </c>
      <c r="K125" s="6" t="str">
        <f>TRIM(SUBSTITUTE(INDEX([1]ТУ!$A:$G,MATCH($A125,[1]ТУ!$A:$A,0),3+K$7),"*",""))</f>
        <v/>
      </c>
      <c r="L125" s="6" t="str">
        <f>TRIM(SUBSTITUTE(INDEX([1]ТУ!$A:$G,MATCH($A125,[1]ТУ!$A:$A,0),3+L$7),"*",""))</f>
        <v/>
      </c>
      <c r="M125" s="7" t="str">
        <f t="shared" si="5"/>
        <v/>
      </c>
      <c r="N125" s="7" t="str">
        <f t="shared" si="6"/>
        <v/>
      </c>
      <c r="O125" s="7" t="str">
        <f t="shared" si="7"/>
        <v/>
      </c>
      <c r="P125" s="7" t="str">
        <f t="shared" si="8"/>
        <v/>
      </c>
    </row>
    <row r="126" spans="1:16" x14ac:dyDescent="0.25">
      <c r="A126" s="11" t="s">
        <v>78</v>
      </c>
      <c r="B126" s="11" t="s">
        <v>79</v>
      </c>
      <c r="C126" s="11" t="s">
        <v>80</v>
      </c>
      <c r="D126" s="11" t="s">
        <v>81</v>
      </c>
      <c r="E126" s="11"/>
      <c r="F126" s="11"/>
      <c r="G126" s="11"/>
      <c r="H126" s="11" t="s">
        <v>82</v>
      </c>
      <c r="I126" s="6" t="str">
        <f>TRIM(SUBSTITUTE(INDEX([1]ТУ!$A:$G,MATCH($A126,[1]ТУ!$A:$A,0),3+I$7),"*",""))</f>
        <v>Задаваемый параметр</v>
      </c>
      <c r="J126" s="6" t="str">
        <f>TRIM(SUBSTITUTE(INDEX([1]ТУ!$A:$G,MATCH($A126,[1]ТУ!$A:$A,0),3+J$7),"*",""))</f>
        <v/>
      </c>
      <c r="K126" s="6" t="str">
        <f>TRIM(SUBSTITUTE(INDEX([1]ТУ!$A:$G,MATCH($A126,[1]ТУ!$A:$A,0),3+K$7),"*",""))</f>
        <v/>
      </c>
      <c r="L126" s="6" t="str">
        <f>TRIM(SUBSTITUTE(INDEX([1]ТУ!$A:$G,MATCH($A126,[1]ТУ!$A:$A,0),3+L$7),"*",""))</f>
        <v/>
      </c>
      <c r="M126" s="7" t="str">
        <f t="shared" si="5"/>
        <v/>
      </c>
      <c r="N126" s="7" t="str">
        <f t="shared" si="6"/>
        <v/>
      </c>
      <c r="O126" s="7" t="str">
        <f t="shared" si="7"/>
        <v/>
      </c>
      <c r="P126" s="7" t="str">
        <f t="shared" si="8"/>
        <v/>
      </c>
    </row>
    <row r="127" spans="1:16" x14ac:dyDescent="0.25">
      <c r="A127" s="11"/>
      <c r="B127" s="11"/>
      <c r="C127" s="11"/>
      <c r="D127" s="11"/>
      <c r="E127" s="11"/>
      <c r="F127" s="11"/>
      <c r="G127" s="11"/>
      <c r="H127" s="11"/>
      <c r="I127" s="6" t="e">
        <f>TRIM(SUBSTITUTE(INDEX([1]ТУ!$A:$G,MATCH($A127,[1]ТУ!$A:$A,0),3+I$7),"*",""))</f>
        <v>#N/A</v>
      </c>
      <c r="J127" s="6" t="e">
        <f>TRIM(SUBSTITUTE(INDEX([1]ТУ!$A:$G,MATCH($A127,[1]ТУ!$A:$A,0),3+J$7),"*",""))</f>
        <v>#N/A</v>
      </c>
      <c r="K127" s="6" t="e">
        <f>TRIM(SUBSTITUTE(INDEX([1]ТУ!$A:$G,MATCH($A127,[1]ТУ!$A:$A,0),3+K$7),"*",""))</f>
        <v>#N/A</v>
      </c>
      <c r="L127" s="6" t="e">
        <f>TRIM(SUBSTITUTE(INDEX([1]ТУ!$A:$G,MATCH($A127,[1]ТУ!$A:$A,0),3+L$7),"*",""))</f>
        <v>#N/A</v>
      </c>
      <c r="M127" s="7" t="str">
        <f t="shared" si="5"/>
        <v/>
      </c>
      <c r="N127" s="7" t="str">
        <f t="shared" si="6"/>
        <v/>
      </c>
      <c r="O127" s="7" t="str">
        <f t="shared" si="7"/>
        <v/>
      </c>
      <c r="P127" s="7" t="str">
        <f t="shared" si="8"/>
        <v/>
      </c>
    </row>
    <row r="128" spans="1:16" x14ac:dyDescent="0.25">
      <c r="A128" s="4" t="s">
        <v>297</v>
      </c>
      <c r="B128" s="2" t="s">
        <v>223</v>
      </c>
      <c r="C128" s="2" t="s">
        <v>224</v>
      </c>
      <c r="D128" s="8" t="s">
        <v>225</v>
      </c>
      <c r="E128" s="8"/>
      <c r="F128" s="8"/>
      <c r="G128" s="8"/>
      <c r="H128" s="2" t="s">
        <v>226</v>
      </c>
      <c r="I128" s="6" t="str">
        <f>TRIM(SUBSTITUTE(INDEX([1]ТУ!$A:$G,MATCH($A128,[1]ТУ!$A:$A,0),3+I$7),"*",""))</f>
        <v>60 В</v>
      </c>
      <c r="J128" s="6" t="str">
        <f>TRIM(SUBSTITUTE(INDEX([1]ТУ!$A:$G,MATCH($A128,[1]ТУ!$A:$A,0),3+J$7),"*",""))</f>
        <v/>
      </c>
      <c r="K128" s="6" t="str">
        <f>TRIM(SUBSTITUTE(INDEX([1]ТУ!$A:$G,MATCH($A128,[1]ТУ!$A:$A,0),3+K$7),"*",""))</f>
        <v/>
      </c>
      <c r="L128" s="6" t="str">
        <f>TRIM(SUBSTITUTE(INDEX([1]ТУ!$A:$G,MATCH($A128,[1]ТУ!$A:$A,0),3+L$7),"*",""))</f>
        <v/>
      </c>
      <c r="M128" s="7" t="str">
        <f t="shared" si="5"/>
        <v/>
      </c>
      <c r="N128" s="7" t="str">
        <f t="shared" si="6"/>
        <v/>
      </c>
      <c r="O128" s="7" t="str">
        <f t="shared" si="7"/>
        <v/>
      </c>
      <c r="P128" s="7" t="str">
        <f t="shared" si="8"/>
        <v/>
      </c>
    </row>
    <row r="129" spans="1:16" x14ac:dyDescent="0.25">
      <c r="A129" s="4" t="s">
        <v>298</v>
      </c>
      <c r="B129" s="2" t="s">
        <v>228</v>
      </c>
      <c r="C129" s="2" t="s">
        <v>229</v>
      </c>
      <c r="D129" s="8" t="s">
        <v>230</v>
      </c>
      <c r="E129" s="8"/>
      <c r="F129" s="8"/>
      <c r="G129" s="8"/>
      <c r="H129" s="2" t="s">
        <v>231</v>
      </c>
      <c r="I129" s="6" t="str">
        <f>TRIM(SUBSTITUTE(INDEX([1]ТУ!$A:$G,MATCH($A129,[1]ТУ!$A:$A,0),3+I$7),"*",""))</f>
        <v>120 В</v>
      </c>
      <c r="J129" s="6" t="str">
        <f>TRIM(SUBSTITUTE(INDEX([1]ТУ!$A:$G,MATCH($A129,[1]ТУ!$A:$A,0),3+J$7),"*",""))</f>
        <v/>
      </c>
      <c r="K129" s="6" t="str">
        <f>TRIM(SUBSTITUTE(INDEX([1]ТУ!$A:$G,MATCH($A129,[1]ТУ!$A:$A,0),3+K$7),"*",""))</f>
        <v/>
      </c>
      <c r="L129" s="6" t="str">
        <f>TRIM(SUBSTITUTE(INDEX([1]ТУ!$A:$G,MATCH($A129,[1]ТУ!$A:$A,0),3+L$7),"*",""))</f>
        <v/>
      </c>
      <c r="M129" s="7" t="str">
        <f t="shared" si="5"/>
        <v/>
      </c>
      <c r="N129" s="7" t="str">
        <f t="shared" si="6"/>
        <v/>
      </c>
      <c r="O129" s="7" t="str">
        <f t="shared" si="7"/>
        <v/>
      </c>
      <c r="P129" s="7" t="str">
        <f t="shared" si="8"/>
        <v/>
      </c>
    </row>
    <row r="130" spans="1:16" x14ac:dyDescent="0.25">
      <c r="A130" s="4" t="s">
        <v>299</v>
      </c>
      <c r="B130" s="2" t="s">
        <v>233</v>
      </c>
      <c r="C130" s="2" t="s">
        <v>234</v>
      </c>
      <c r="D130" s="8" t="s">
        <v>235</v>
      </c>
      <c r="E130" s="8"/>
      <c r="F130" s="8"/>
      <c r="G130" s="8"/>
      <c r="H130" s="2" t="s">
        <v>236</v>
      </c>
      <c r="I130" s="6" t="str">
        <f>TRIM(SUBSTITUTE(INDEX([1]ТУ!$A:$G,MATCH($A130,[1]ТУ!$A:$A,0),3+I$7),"*",""))</f>
        <v>50 В</v>
      </c>
      <c r="J130" s="6" t="str">
        <f>TRIM(SUBSTITUTE(INDEX([1]ТУ!$A:$G,MATCH($A130,[1]ТУ!$A:$A,0),3+J$7),"*",""))</f>
        <v/>
      </c>
      <c r="K130" s="6" t="str">
        <f>TRIM(SUBSTITUTE(INDEX([1]ТУ!$A:$G,MATCH($A130,[1]ТУ!$A:$A,0),3+K$7),"*",""))</f>
        <v/>
      </c>
      <c r="L130" s="6" t="str">
        <f>TRIM(SUBSTITUTE(INDEX([1]ТУ!$A:$G,MATCH($A130,[1]ТУ!$A:$A,0),3+L$7),"*",""))</f>
        <v/>
      </c>
      <c r="M130" s="7" t="str">
        <f t="shared" si="5"/>
        <v/>
      </c>
      <c r="N130" s="7" t="str">
        <f t="shared" si="6"/>
        <v/>
      </c>
      <c r="O130" s="7" t="str">
        <f t="shared" si="7"/>
        <v/>
      </c>
      <c r="P130" s="7" t="str">
        <f t="shared" si="8"/>
        <v/>
      </c>
    </row>
    <row r="131" spans="1:16" ht="30" x14ac:dyDescent="0.25">
      <c r="A131" s="4" t="s">
        <v>300</v>
      </c>
      <c r="B131" s="2" t="s">
        <v>238</v>
      </c>
      <c r="C131" s="2" t="s">
        <v>239</v>
      </c>
      <c r="D131" s="8" t="s">
        <v>102</v>
      </c>
      <c r="E131" s="8"/>
      <c r="F131" s="8"/>
      <c r="G131" s="8"/>
      <c r="H131" s="2" t="s">
        <v>240</v>
      </c>
      <c r="I131" s="6" t="str">
        <f>TRIM(SUBSTITUTE(INDEX([1]ТУ!$A:$G,MATCH($A131,[1]ТУ!$A:$A,0),3+I$7),"*",""))</f>
        <v>НЕТ</v>
      </c>
      <c r="J131" s="6" t="str">
        <f>TRIM(SUBSTITUTE(INDEX([1]ТУ!$A:$G,MATCH($A131,[1]ТУ!$A:$A,0),3+J$7),"*",""))</f>
        <v/>
      </c>
      <c r="K131" s="6" t="str">
        <f>TRIM(SUBSTITUTE(INDEX([1]ТУ!$A:$G,MATCH($A131,[1]ТУ!$A:$A,0),3+K$7),"*",""))</f>
        <v/>
      </c>
      <c r="L131" s="6" t="str">
        <f>TRIM(SUBSTITUTE(INDEX([1]ТУ!$A:$G,MATCH($A131,[1]ТУ!$A:$A,0),3+L$7),"*",""))</f>
        <v/>
      </c>
      <c r="M131" s="7" t="str">
        <f t="shared" si="5"/>
        <v/>
      </c>
      <c r="N131" s="7" t="str">
        <f t="shared" si="6"/>
        <v/>
      </c>
      <c r="O131" s="7" t="str">
        <f t="shared" si="7"/>
        <v/>
      </c>
      <c r="P131" s="7" t="str">
        <f t="shared" si="8"/>
        <v/>
      </c>
    </row>
    <row r="132" spans="1:16" ht="30" x14ac:dyDescent="0.25">
      <c r="A132" s="4" t="s">
        <v>301</v>
      </c>
      <c r="B132" s="2" t="s">
        <v>242</v>
      </c>
      <c r="C132" s="2" t="s">
        <v>239</v>
      </c>
      <c r="D132" s="8" t="s">
        <v>102</v>
      </c>
      <c r="E132" s="8"/>
      <c r="F132" s="8"/>
      <c r="G132" s="8"/>
      <c r="H132" s="2" t="s">
        <v>243</v>
      </c>
      <c r="I132" s="6" t="str">
        <f>TRIM(SUBSTITUTE(INDEX([1]ТУ!$A:$G,MATCH($A132,[1]ТУ!$A:$A,0),3+I$7),"*",""))</f>
        <v>НЕТ</v>
      </c>
      <c r="J132" s="6" t="str">
        <f>TRIM(SUBSTITUTE(INDEX([1]ТУ!$A:$G,MATCH($A132,[1]ТУ!$A:$A,0),3+J$7),"*",""))</f>
        <v/>
      </c>
      <c r="K132" s="6" t="str">
        <f>TRIM(SUBSTITUTE(INDEX([1]ТУ!$A:$G,MATCH($A132,[1]ТУ!$A:$A,0),3+K$7),"*",""))</f>
        <v/>
      </c>
      <c r="L132" s="6" t="str">
        <f>TRIM(SUBSTITUTE(INDEX([1]ТУ!$A:$G,MATCH($A132,[1]ТУ!$A:$A,0),3+L$7),"*",""))</f>
        <v/>
      </c>
      <c r="M132" s="7" t="str">
        <f t="shared" si="5"/>
        <v/>
      </c>
      <c r="N132" s="7" t="str">
        <f t="shared" si="6"/>
        <v/>
      </c>
      <c r="O132" s="7" t="str">
        <f t="shared" si="7"/>
        <v/>
      </c>
      <c r="P132" s="7" t="str">
        <f t="shared" si="8"/>
        <v/>
      </c>
    </row>
    <row r="133" spans="1:16" ht="30" x14ac:dyDescent="0.25">
      <c r="A133" s="4" t="s">
        <v>302</v>
      </c>
      <c r="B133" s="2" t="s">
        <v>245</v>
      </c>
      <c r="C133" s="2" t="s">
        <v>239</v>
      </c>
      <c r="D133" s="8" t="s">
        <v>102</v>
      </c>
      <c r="E133" s="8"/>
      <c r="F133" s="8"/>
      <c r="G133" s="8"/>
      <c r="H133" s="2" t="s">
        <v>246</v>
      </c>
      <c r="I133" s="6" t="str">
        <f>TRIM(SUBSTITUTE(INDEX([1]ТУ!$A:$G,MATCH($A133,[1]ТУ!$A:$A,0),3+I$7),"*",""))</f>
        <v>НЕТ</v>
      </c>
      <c r="J133" s="6" t="str">
        <f>TRIM(SUBSTITUTE(INDEX([1]ТУ!$A:$G,MATCH($A133,[1]ТУ!$A:$A,0),3+J$7),"*",""))</f>
        <v/>
      </c>
      <c r="K133" s="6" t="str">
        <f>TRIM(SUBSTITUTE(INDEX([1]ТУ!$A:$G,MATCH($A133,[1]ТУ!$A:$A,0),3+K$7),"*",""))</f>
        <v/>
      </c>
      <c r="L133" s="6" t="str">
        <f>TRIM(SUBSTITUTE(INDEX([1]ТУ!$A:$G,MATCH($A133,[1]ТУ!$A:$A,0),3+L$7),"*",""))</f>
        <v/>
      </c>
      <c r="M133" s="7" t="str">
        <f t="shared" si="5"/>
        <v/>
      </c>
      <c r="N133" s="7" t="str">
        <f t="shared" si="6"/>
        <v/>
      </c>
      <c r="O133" s="7" t="str">
        <f t="shared" si="7"/>
        <v/>
      </c>
      <c r="P133" s="7" t="str">
        <f t="shared" si="8"/>
        <v/>
      </c>
    </row>
    <row r="134" spans="1:16" x14ac:dyDescent="0.25">
      <c r="A134" s="4" t="s">
        <v>303</v>
      </c>
      <c r="B134" s="2" t="s">
        <v>248</v>
      </c>
      <c r="C134" s="2" t="s">
        <v>249</v>
      </c>
      <c r="D134" s="8" t="s">
        <v>250</v>
      </c>
      <c r="E134" s="8"/>
      <c r="F134" s="8"/>
      <c r="G134" s="8"/>
      <c r="H134" s="2" t="s">
        <v>251</v>
      </c>
      <c r="I134" s="6" t="str">
        <f>TRIM(SUBSTITUTE(INDEX([1]ТУ!$A:$G,MATCH($A134,[1]ТУ!$A:$A,0),3+I$7),"*",""))</f>
        <v>60 сек</v>
      </c>
      <c r="J134" s="6" t="str">
        <f>TRIM(SUBSTITUTE(INDEX([1]ТУ!$A:$G,MATCH($A134,[1]ТУ!$A:$A,0),3+J$7),"*",""))</f>
        <v/>
      </c>
      <c r="K134" s="6" t="str">
        <f>TRIM(SUBSTITUTE(INDEX([1]ТУ!$A:$G,MATCH($A134,[1]ТУ!$A:$A,0),3+K$7),"*",""))</f>
        <v/>
      </c>
      <c r="L134" s="6" t="str">
        <f>TRIM(SUBSTITUTE(INDEX([1]ТУ!$A:$G,MATCH($A134,[1]ТУ!$A:$A,0),3+L$7),"*",""))</f>
        <v/>
      </c>
      <c r="M134" s="7">
        <f t="shared" si="5"/>
        <v>1</v>
      </c>
      <c r="N134" s="7" t="str">
        <f t="shared" si="6"/>
        <v/>
      </c>
      <c r="O134" s="7" t="str">
        <f t="shared" si="7"/>
        <v/>
      </c>
      <c r="P134" s="7" t="str">
        <f t="shared" si="8"/>
        <v/>
      </c>
    </row>
    <row r="135" spans="1:16" x14ac:dyDescent="0.25">
      <c r="A135" s="4" t="s">
        <v>304</v>
      </c>
      <c r="B135" s="2" t="s">
        <v>253</v>
      </c>
      <c r="C135" s="2" t="s">
        <v>254</v>
      </c>
      <c r="D135" s="8" t="s">
        <v>255</v>
      </c>
      <c r="E135" s="8"/>
      <c r="F135" s="8"/>
      <c r="G135" s="8"/>
      <c r="H135" s="2" t="s">
        <v>256</v>
      </c>
      <c r="I135" s="6" t="str">
        <f>TRIM(SUBSTITUTE(INDEX([1]ТУ!$A:$G,MATCH($A135,[1]ТУ!$A:$A,0),3+I$7),"*",""))</f>
        <v>97 %</v>
      </c>
      <c r="J135" s="6" t="str">
        <f>TRIM(SUBSTITUTE(INDEX([1]ТУ!$A:$G,MATCH($A135,[1]ТУ!$A:$A,0),3+J$7),"*",""))</f>
        <v/>
      </c>
      <c r="K135" s="6" t="str">
        <f>TRIM(SUBSTITUTE(INDEX([1]ТУ!$A:$G,MATCH($A135,[1]ТУ!$A:$A,0),3+K$7),"*",""))</f>
        <v/>
      </c>
      <c r="L135" s="6" t="str">
        <f>TRIM(SUBSTITUTE(INDEX([1]ТУ!$A:$G,MATCH($A135,[1]ТУ!$A:$A,0),3+L$7),"*",""))</f>
        <v/>
      </c>
      <c r="M135" s="7" t="str">
        <f t="shared" si="5"/>
        <v/>
      </c>
      <c r="N135" s="7" t="str">
        <f t="shared" si="6"/>
        <v/>
      </c>
      <c r="O135" s="7" t="str">
        <f t="shared" si="7"/>
        <v/>
      </c>
      <c r="P135" s="7" t="str">
        <f t="shared" si="8"/>
        <v/>
      </c>
    </row>
    <row r="136" spans="1:16" x14ac:dyDescent="0.25">
      <c r="A136" s="4" t="s">
        <v>305</v>
      </c>
      <c r="B136" s="2" t="s">
        <v>258</v>
      </c>
      <c r="C136" s="2" t="s">
        <v>254</v>
      </c>
      <c r="D136" s="8" t="s">
        <v>259</v>
      </c>
      <c r="E136" s="8"/>
      <c r="F136" s="8"/>
      <c r="G136" s="8"/>
      <c r="H136" s="2" t="s">
        <v>260</v>
      </c>
      <c r="I136" s="6" t="str">
        <f>TRIM(SUBSTITUTE(INDEX([1]ТУ!$A:$G,MATCH($A136,[1]ТУ!$A:$A,0),3+I$7),"*",""))</f>
        <v>101 %</v>
      </c>
      <c r="J136" s="6" t="str">
        <f>TRIM(SUBSTITUTE(INDEX([1]ТУ!$A:$G,MATCH($A136,[1]ТУ!$A:$A,0),3+J$7),"*",""))</f>
        <v/>
      </c>
      <c r="K136" s="6" t="str">
        <f>TRIM(SUBSTITUTE(INDEX([1]ТУ!$A:$G,MATCH($A136,[1]ТУ!$A:$A,0),3+K$7),"*",""))</f>
        <v/>
      </c>
      <c r="L136" s="6" t="str">
        <f>TRIM(SUBSTITUTE(INDEX([1]ТУ!$A:$G,MATCH($A136,[1]ТУ!$A:$A,0),3+L$7),"*",""))</f>
        <v/>
      </c>
      <c r="M136" s="7" t="str">
        <f t="shared" si="5"/>
        <v/>
      </c>
      <c r="N136" s="7" t="str">
        <f t="shared" si="6"/>
        <v/>
      </c>
      <c r="O136" s="7" t="str">
        <f t="shared" si="7"/>
        <v/>
      </c>
      <c r="P136" s="7" t="str">
        <f t="shared" si="8"/>
        <v/>
      </c>
    </row>
    <row r="137" spans="1:16" x14ac:dyDescent="0.25">
      <c r="A137" s="12" t="s">
        <v>261</v>
      </c>
      <c r="B137" s="12"/>
      <c r="C137" s="12"/>
      <c r="D137" s="12"/>
      <c r="E137" s="12"/>
      <c r="F137" s="12"/>
      <c r="G137" s="12"/>
      <c r="H137" s="12"/>
      <c r="I137" s="6" t="str">
        <f>TRIM(SUBSTITUTE(INDEX([1]ТУ!$A:$G,MATCH($A137,[1]ТУ!$A:$A,0),3+I$7),"*",""))</f>
        <v/>
      </c>
      <c r="J137" s="6" t="str">
        <f>TRIM(SUBSTITUTE(INDEX([1]ТУ!$A:$G,MATCH($A137,[1]ТУ!$A:$A,0),3+J$7),"*",""))</f>
        <v/>
      </c>
      <c r="K137" s="6" t="str">
        <f>TRIM(SUBSTITUTE(INDEX([1]ТУ!$A:$G,MATCH($A137,[1]ТУ!$A:$A,0),3+K$7),"*",""))</f>
        <v/>
      </c>
      <c r="L137" s="6" t="str">
        <f>TRIM(SUBSTITUTE(INDEX([1]ТУ!$A:$G,MATCH($A137,[1]ТУ!$A:$A,0),3+L$7),"*",""))</f>
        <v/>
      </c>
      <c r="M137" s="7" t="str">
        <f t="shared" ref="M137:M200" si="9">IF($A137&lt;&gt;"",IFERROR(IF(SUBSTITUTE(D137,",",".")&lt;&gt;SUBSTITUTE(SUBSTITUTE(I137,",","."),"∞","oo"),1,""),"!"),"")</f>
        <v/>
      </c>
      <c r="N137" s="7" t="str">
        <f t="shared" ref="N137:N200" si="10">IF($A137&lt;&gt;"",IFERROR(IF(SUBSTITUTE(E137,",",".")&lt;&gt;SUBSTITUTE(SUBSTITUTE(J137,",","."),"∞","oo"),1,""),"!"),"")</f>
        <v/>
      </c>
      <c r="O137" s="7" t="str">
        <f t="shared" ref="O137:O200" si="11">IF($A137&lt;&gt;"",IFERROR(IF(SUBSTITUTE(F137,",",".")&lt;&gt;SUBSTITUTE(SUBSTITUTE(K137,",","."),"∞","oo"),1,""),"!"),"")</f>
        <v/>
      </c>
      <c r="P137" s="7" t="str">
        <f t="shared" ref="P137:P200" si="12">IF($A137&lt;&gt;"",IFERROR(IF(SUBSTITUTE(G137,",",".")&lt;&gt;SUBSTITUTE(SUBSTITUTE(L137,",","."),"∞","oo"),1,""),"!"),"")</f>
        <v/>
      </c>
    </row>
    <row r="138" spans="1:16" x14ac:dyDescent="0.25">
      <c r="A138" s="11" t="s">
        <v>78</v>
      </c>
      <c r="B138" s="11" t="s">
        <v>79</v>
      </c>
      <c r="C138" s="11" t="s">
        <v>80</v>
      </c>
      <c r="D138" s="11" t="s">
        <v>81</v>
      </c>
      <c r="E138" s="11"/>
      <c r="F138" s="11"/>
      <c r="G138" s="11"/>
      <c r="H138" s="11" t="s">
        <v>82</v>
      </c>
      <c r="I138" s="6" t="str">
        <f>TRIM(SUBSTITUTE(INDEX([1]ТУ!$A:$G,MATCH($A138,[1]ТУ!$A:$A,0),3+I$7),"*",""))</f>
        <v>Задаваемый параметр</v>
      </c>
      <c r="J138" s="6" t="str">
        <f>TRIM(SUBSTITUTE(INDEX([1]ТУ!$A:$G,MATCH($A138,[1]ТУ!$A:$A,0),3+J$7),"*",""))</f>
        <v/>
      </c>
      <c r="K138" s="6" t="str">
        <f>TRIM(SUBSTITUTE(INDEX([1]ТУ!$A:$G,MATCH($A138,[1]ТУ!$A:$A,0),3+K$7),"*",""))</f>
        <v/>
      </c>
      <c r="L138" s="6" t="str">
        <f>TRIM(SUBSTITUTE(INDEX([1]ТУ!$A:$G,MATCH($A138,[1]ТУ!$A:$A,0),3+L$7),"*",""))</f>
        <v/>
      </c>
      <c r="M138" s="7" t="str">
        <f t="shared" si="9"/>
        <v/>
      </c>
      <c r="N138" s="7" t="str">
        <f t="shared" si="10"/>
        <v/>
      </c>
      <c r="O138" s="7" t="str">
        <f t="shared" si="11"/>
        <v/>
      </c>
      <c r="P138" s="7" t="str">
        <f t="shared" si="12"/>
        <v/>
      </c>
    </row>
    <row r="139" spans="1:16" x14ac:dyDescent="0.25">
      <c r="A139" s="11"/>
      <c r="B139" s="11"/>
      <c r="C139" s="11"/>
      <c r="D139" s="11"/>
      <c r="E139" s="11"/>
      <c r="F139" s="11"/>
      <c r="G139" s="11"/>
      <c r="H139" s="11"/>
      <c r="I139" s="6" t="e">
        <f>TRIM(SUBSTITUTE(INDEX([1]ТУ!$A:$G,MATCH($A139,[1]ТУ!$A:$A,0),3+I$7),"*",""))</f>
        <v>#N/A</v>
      </c>
      <c r="J139" s="6" t="e">
        <f>TRIM(SUBSTITUTE(INDEX([1]ТУ!$A:$G,MATCH($A139,[1]ТУ!$A:$A,0),3+J$7),"*",""))</f>
        <v>#N/A</v>
      </c>
      <c r="K139" s="6" t="e">
        <f>TRIM(SUBSTITUTE(INDEX([1]ТУ!$A:$G,MATCH($A139,[1]ТУ!$A:$A,0),3+K$7),"*",""))</f>
        <v>#N/A</v>
      </c>
      <c r="L139" s="6" t="e">
        <f>TRIM(SUBSTITUTE(INDEX([1]ТУ!$A:$G,MATCH($A139,[1]ТУ!$A:$A,0),3+L$7),"*",""))</f>
        <v>#N/A</v>
      </c>
      <c r="M139" s="7" t="str">
        <f t="shared" si="9"/>
        <v/>
      </c>
      <c r="N139" s="7" t="str">
        <f t="shared" si="10"/>
        <v/>
      </c>
      <c r="O139" s="7" t="str">
        <f t="shared" si="11"/>
        <v/>
      </c>
      <c r="P139" s="7" t="str">
        <f t="shared" si="12"/>
        <v/>
      </c>
    </row>
    <row r="140" spans="1:16" x14ac:dyDescent="0.25">
      <c r="A140" s="4" t="s">
        <v>306</v>
      </c>
      <c r="B140" s="2" t="s">
        <v>263</v>
      </c>
      <c r="C140" s="2" t="s">
        <v>264</v>
      </c>
      <c r="D140" s="8" t="s">
        <v>265</v>
      </c>
      <c r="E140" s="8"/>
      <c r="F140" s="8"/>
      <c r="G140" s="8"/>
      <c r="H140" s="2" t="s">
        <v>266</v>
      </c>
      <c r="I140" s="6" t="str">
        <f>TRIM(SUBSTITUTE(INDEX([1]ТУ!$A:$G,MATCH($A140,[1]ТУ!$A:$A,0),3+I$7),"*",""))</f>
        <v>22.7 В</v>
      </c>
      <c r="J140" s="6" t="str">
        <f>TRIM(SUBSTITUTE(INDEX([1]ТУ!$A:$G,MATCH($A140,[1]ТУ!$A:$A,0),3+J$7),"*",""))</f>
        <v/>
      </c>
      <c r="K140" s="6" t="str">
        <f>TRIM(SUBSTITUTE(INDEX([1]ТУ!$A:$G,MATCH($A140,[1]ТУ!$A:$A,0),3+K$7),"*",""))</f>
        <v/>
      </c>
      <c r="L140" s="6" t="str">
        <f>TRIM(SUBSTITUTE(INDEX([1]ТУ!$A:$G,MATCH($A140,[1]ТУ!$A:$A,0),3+L$7),"*",""))</f>
        <v/>
      </c>
      <c r="M140" s="7" t="str">
        <f t="shared" si="9"/>
        <v/>
      </c>
      <c r="N140" s="7" t="str">
        <f t="shared" si="10"/>
        <v/>
      </c>
      <c r="O140" s="7" t="str">
        <f t="shared" si="11"/>
        <v/>
      </c>
      <c r="P140" s="7" t="str">
        <f t="shared" si="12"/>
        <v/>
      </c>
    </row>
    <row r="141" spans="1:16" x14ac:dyDescent="0.25">
      <c r="A141" s="4" t="s">
        <v>307</v>
      </c>
      <c r="B141" s="2" t="s">
        <v>268</v>
      </c>
      <c r="C141" s="2" t="s">
        <v>269</v>
      </c>
      <c r="D141" s="14" t="s">
        <v>270</v>
      </c>
      <c r="E141" s="14"/>
      <c r="F141" s="14"/>
      <c r="G141" s="14"/>
      <c r="H141" s="2" t="s">
        <v>271</v>
      </c>
      <c r="I141" s="6" t="str">
        <f>TRIM(SUBSTITUTE(INDEX([1]ТУ!$A:$G,MATCH($A141,[1]ТУ!$A:$A,0),3+I$7),"*",""))</f>
        <v>0.4 Гц</v>
      </c>
      <c r="J141" s="6" t="str">
        <f>TRIM(SUBSTITUTE(INDEX([1]ТУ!$A:$G,MATCH($A141,[1]ТУ!$A:$A,0),3+J$7),"*",""))</f>
        <v/>
      </c>
      <c r="K141" s="6" t="str">
        <f>TRIM(SUBSTITUTE(INDEX([1]ТУ!$A:$G,MATCH($A141,[1]ТУ!$A:$A,0),3+K$7),"*",""))</f>
        <v/>
      </c>
      <c r="L141" s="6" t="str">
        <f>TRIM(SUBSTITUTE(INDEX([1]ТУ!$A:$G,MATCH($A141,[1]ТУ!$A:$A,0),3+L$7),"*",""))</f>
        <v/>
      </c>
      <c r="M141" s="7">
        <f t="shared" si="9"/>
        <v>1</v>
      </c>
      <c r="N141" s="7" t="str">
        <f t="shared" si="10"/>
        <v/>
      </c>
      <c r="O141" s="7" t="str">
        <f t="shared" si="11"/>
        <v/>
      </c>
      <c r="P141" s="7" t="str">
        <f t="shared" si="12"/>
        <v/>
      </c>
    </row>
    <row r="142" spans="1:16" x14ac:dyDescent="0.25">
      <c r="A142" s="12" t="s">
        <v>272</v>
      </c>
      <c r="B142" s="12"/>
      <c r="C142" s="12"/>
      <c r="D142" s="12"/>
      <c r="E142" s="12"/>
      <c r="F142" s="12"/>
      <c r="G142" s="12"/>
      <c r="H142" s="12"/>
      <c r="I142" s="6" t="str">
        <f>TRIM(SUBSTITUTE(INDEX([1]ТУ!$A:$G,MATCH($A142,[1]ТУ!$A:$A,0),3+I$7),"*",""))</f>
        <v/>
      </c>
      <c r="J142" s="6" t="str">
        <f>TRIM(SUBSTITUTE(INDEX([1]ТУ!$A:$G,MATCH($A142,[1]ТУ!$A:$A,0),3+J$7),"*",""))</f>
        <v/>
      </c>
      <c r="K142" s="6" t="str">
        <f>TRIM(SUBSTITUTE(INDEX([1]ТУ!$A:$G,MATCH($A142,[1]ТУ!$A:$A,0),3+K$7),"*",""))</f>
        <v/>
      </c>
      <c r="L142" s="6" t="str">
        <f>TRIM(SUBSTITUTE(INDEX([1]ТУ!$A:$G,MATCH($A142,[1]ТУ!$A:$A,0),3+L$7),"*",""))</f>
        <v/>
      </c>
      <c r="M142" s="7" t="str">
        <f t="shared" si="9"/>
        <v/>
      </c>
      <c r="N142" s="7" t="str">
        <f t="shared" si="10"/>
        <v/>
      </c>
      <c r="O142" s="7" t="str">
        <f t="shared" si="11"/>
        <v/>
      </c>
      <c r="P142" s="7" t="str">
        <f t="shared" si="12"/>
        <v/>
      </c>
    </row>
    <row r="143" spans="1:16" x14ac:dyDescent="0.25">
      <c r="A143" s="11" t="s">
        <v>78</v>
      </c>
      <c r="B143" s="11" t="s">
        <v>79</v>
      </c>
      <c r="C143" s="11" t="s">
        <v>80</v>
      </c>
      <c r="D143" s="11" t="s">
        <v>81</v>
      </c>
      <c r="E143" s="11"/>
      <c r="F143" s="11"/>
      <c r="G143" s="11"/>
      <c r="H143" s="11" t="s">
        <v>82</v>
      </c>
      <c r="I143" s="6" t="str">
        <f>TRIM(SUBSTITUTE(INDEX([1]ТУ!$A:$G,MATCH($A143,[1]ТУ!$A:$A,0),3+I$7),"*",""))</f>
        <v>Задаваемый параметр</v>
      </c>
      <c r="J143" s="6" t="str">
        <f>TRIM(SUBSTITUTE(INDEX([1]ТУ!$A:$G,MATCH($A143,[1]ТУ!$A:$A,0),3+J$7),"*",""))</f>
        <v/>
      </c>
      <c r="K143" s="6" t="str">
        <f>TRIM(SUBSTITUTE(INDEX([1]ТУ!$A:$G,MATCH($A143,[1]ТУ!$A:$A,0),3+K$7),"*",""))</f>
        <v/>
      </c>
      <c r="L143" s="6" t="str">
        <f>TRIM(SUBSTITUTE(INDEX([1]ТУ!$A:$G,MATCH($A143,[1]ТУ!$A:$A,0),3+L$7),"*",""))</f>
        <v/>
      </c>
      <c r="M143" s="7" t="str">
        <f t="shared" si="9"/>
        <v/>
      </c>
      <c r="N143" s="7" t="str">
        <f t="shared" si="10"/>
        <v/>
      </c>
      <c r="O143" s="7" t="str">
        <f t="shared" si="11"/>
        <v/>
      </c>
      <c r="P143" s="7" t="str">
        <f t="shared" si="12"/>
        <v/>
      </c>
    </row>
    <row r="144" spans="1:16" x14ac:dyDescent="0.25">
      <c r="A144" s="11"/>
      <c r="B144" s="11"/>
      <c r="C144" s="11"/>
      <c r="D144" s="11"/>
      <c r="E144" s="11"/>
      <c r="F144" s="11"/>
      <c r="G144" s="11"/>
      <c r="H144" s="11"/>
      <c r="I144" s="6" t="e">
        <f>TRIM(SUBSTITUTE(INDEX([1]ТУ!$A:$G,MATCH($A144,[1]ТУ!$A:$A,0),3+I$7),"*",""))</f>
        <v>#N/A</v>
      </c>
      <c r="J144" s="6" t="e">
        <f>TRIM(SUBSTITUTE(INDEX([1]ТУ!$A:$G,MATCH($A144,[1]ТУ!$A:$A,0),3+J$7),"*",""))</f>
        <v>#N/A</v>
      </c>
      <c r="K144" s="6" t="e">
        <f>TRIM(SUBSTITUTE(INDEX([1]ТУ!$A:$G,MATCH($A144,[1]ТУ!$A:$A,0),3+K$7),"*",""))</f>
        <v>#N/A</v>
      </c>
      <c r="L144" s="6" t="e">
        <f>TRIM(SUBSTITUTE(INDEX([1]ТУ!$A:$G,MATCH($A144,[1]ТУ!$A:$A,0),3+L$7),"*",""))</f>
        <v>#N/A</v>
      </c>
      <c r="M144" s="7" t="str">
        <f t="shared" si="9"/>
        <v/>
      </c>
      <c r="N144" s="7" t="str">
        <f t="shared" si="10"/>
        <v/>
      </c>
      <c r="O144" s="7" t="str">
        <f t="shared" si="11"/>
        <v/>
      </c>
      <c r="P144" s="7" t="str">
        <f t="shared" si="12"/>
        <v/>
      </c>
    </row>
    <row r="145" spans="1:16" x14ac:dyDescent="0.25">
      <c r="A145" s="4" t="s">
        <v>308</v>
      </c>
      <c r="B145" s="2" t="s">
        <v>274</v>
      </c>
      <c r="C145" s="2" t="s">
        <v>275</v>
      </c>
      <c r="D145" s="8" t="s">
        <v>276</v>
      </c>
      <c r="E145" s="8"/>
      <c r="F145" s="8"/>
      <c r="G145" s="8"/>
      <c r="H145" s="2" t="s">
        <v>277</v>
      </c>
      <c r="I145" s="6" t="str">
        <f>TRIM(SUBSTITUTE(INDEX([1]ТУ!$A:$G,MATCH($A145,[1]ТУ!$A:$A,0),3+I$7),"*",""))</f>
        <v>40 мГц</v>
      </c>
      <c r="J145" s="6" t="str">
        <f>TRIM(SUBSTITUTE(INDEX([1]ТУ!$A:$G,MATCH($A145,[1]ТУ!$A:$A,0),3+J$7),"*",""))</f>
        <v/>
      </c>
      <c r="K145" s="6" t="str">
        <f>TRIM(SUBSTITUTE(INDEX([1]ТУ!$A:$G,MATCH($A145,[1]ТУ!$A:$A,0),3+K$7),"*",""))</f>
        <v/>
      </c>
      <c r="L145" s="6" t="str">
        <f>TRIM(SUBSTITUTE(INDEX([1]ТУ!$A:$G,MATCH($A145,[1]ТУ!$A:$A,0),3+L$7),"*",""))</f>
        <v/>
      </c>
      <c r="M145" s="7" t="str">
        <f t="shared" si="9"/>
        <v/>
      </c>
      <c r="N145" s="7" t="str">
        <f t="shared" si="10"/>
        <v/>
      </c>
      <c r="O145" s="7" t="str">
        <f t="shared" si="11"/>
        <v/>
      </c>
      <c r="P145" s="7" t="str">
        <f t="shared" si="12"/>
        <v/>
      </c>
    </row>
    <row r="146" spans="1:16" ht="30" x14ac:dyDescent="0.25">
      <c r="A146" s="4" t="s">
        <v>309</v>
      </c>
      <c r="B146" s="2" t="s">
        <v>279</v>
      </c>
      <c r="C146" s="2" t="s">
        <v>264</v>
      </c>
      <c r="D146" s="8" t="s">
        <v>265</v>
      </c>
      <c r="E146" s="8"/>
      <c r="F146" s="8"/>
      <c r="G146" s="8"/>
      <c r="H146" s="2" t="s">
        <v>280</v>
      </c>
      <c r="I146" s="6" t="str">
        <f>TRIM(SUBSTITUTE(INDEX([1]ТУ!$A:$G,MATCH($A146,[1]ТУ!$A:$A,0),3+I$7),"*",""))</f>
        <v>22.7 В</v>
      </c>
      <c r="J146" s="6" t="str">
        <f>TRIM(SUBSTITUTE(INDEX([1]ТУ!$A:$G,MATCH($A146,[1]ТУ!$A:$A,0),3+J$7),"*",""))</f>
        <v/>
      </c>
      <c r="K146" s="6" t="str">
        <f>TRIM(SUBSTITUTE(INDEX([1]ТУ!$A:$G,MATCH($A146,[1]ТУ!$A:$A,0),3+K$7),"*",""))</f>
        <v/>
      </c>
      <c r="L146" s="6" t="str">
        <f>TRIM(SUBSTITUTE(INDEX([1]ТУ!$A:$G,MATCH($A146,[1]ТУ!$A:$A,0),3+L$7),"*",""))</f>
        <v/>
      </c>
      <c r="M146" s="7" t="str">
        <f t="shared" si="9"/>
        <v/>
      </c>
      <c r="N146" s="7" t="str">
        <f t="shared" si="10"/>
        <v/>
      </c>
      <c r="O146" s="7" t="str">
        <f t="shared" si="11"/>
        <v/>
      </c>
      <c r="P146" s="7" t="str">
        <f t="shared" si="12"/>
        <v/>
      </c>
    </row>
    <row r="147" spans="1:16" x14ac:dyDescent="0.25">
      <c r="A147" s="4" t="s">
        <v>310</v>
      </c>
      <c r="B147" s="2" t="s">
        <v>285</v>
      </c>
      <c r="C147" s="2" t="s">
        <v>282</v>
      </c>
      <c r="D147" s="8" t="s">
        <v>283</v>
      </c>
      <c r="E147" s="8"/>
      <c r="F147" s="8"/>
      <c r="G147" s="8"/>
      <c r="H147" s="2" t="s">
        <v>284</v>
      </c>
      <c r="I147" s="6" t="str">
        <f>TRIM(SUBSTITUTE(INDEX([1]ТУ!$A:$G,MATCH($A147,[1]ТУ!$A:$A,0),3+I$7),"*",""))</f>
        <v>40 °</v>
      </c>
      <c r="J147" s="6" t="str">
        <f>TRIM(SUBSTITUTE(INDEX([1]ТУ!$A:$G,MATCH($A147,[1]ТУ!$A:$A,0),3+J$7),"*",""))</f>
        <v/>
      </c>
      <c r="K147" s="6" t="str">
        <f>TRIM(SUBSTITUTE(INDEX([1]ТУ!$A:$G,MATCH($A147,[1]ТУ!$A:$A,0),3+K$7),"*",""))</f>
        <v/>
      </c>
      <c r="L147" s="6" t="str">
        <f>TRIM(SUBSTITUTE(INDEX([1]ТУ!$A:$G,MATCH($A147,[1]ТУ!$A:$A,0),3+L$7),"*",""))</f>
        <v/>
      </c>
      <c r="M147" s="7" t="str">
        <f t="shared" si="9"/>
        <v/>
      </c>
      <c r="N147" s="7" t="str">
        <f t="shared" si="10"/>
        <v/>
      </c>
      <c r="O147" s="7" t="str">
        <f t="shared" si="11"/>
        <v/>
      </c>
      <c r="P147" s="7" t="str">
        <f t="shared" si="12"/>
        <v/>
      </c>
    </row>
    <row r="148" spans="1:16" x14ac:dyDescent="0.25">
      <c r="A148" s="4" t="s">
        <v>311</v>
      </c>
      <c r="B148" s="2" t="s">
        <v>287</v>
      </c>
      <c r="C148" s="2" t="s">
        <v>288</v>
      </c>
      <c r="D148" s="8" t="s">
        <v>289</v>
      </c>
      <c r="E148" s="8"/>
      <c r="F148" s="8"/>
      <c r="G148" s="8"/>
      <c r="H148" s="2" t="s">
        <v>290</v>
      </c>
      <c r="I148" s="6" t="str">
        <f>TRIM(SUBSTITUTE(INDEX([1]ТУ!$A:$G,MATCH($A148,[1]ТУ!$A:$A,0),3+I$7),"*",""))</f>
        <v>0.3 сек</v>
      </c>
      <c r="J148" s="6" t="str">
        <f>TRIM(SUBSTITUTE(INDEX([1]ТУ!$A:$G,MATCH($A148,[1]ТУ!$A:$A,0),3+J$7),"*",""))</f>
        <v/>
      </c>
      <c r="K148" s="6" t="str">
        <f>TRIM(SUBSTITUTE(INDEX([1]ТУ!$A:$G,MATCH($A148,[1]ТУ!$A:$A,0),3+K$7),"*",""))</f>
        <v/>
      </c>
      <c r="L148" s="6" t="str">
        <f>TRIM(SUBSTITUTE(INDEX([1]ТУ!$A:$G,MATCH($A148,[1]ТУ!$A:$A,0),3+L$7),"*",""))</f>
        <v/>
      </c>
      <c r="M148" s="7">
        <f t="shared" si="9"/>
        <v>1</v>
      </c>
      <c r="N148" s="7" t="str">
        <f t="shared" si="10"/>
        <v/>
      </c>
      <c r="O148" s="7" t="str">
        <f t="shared" si="11"/>
        <v/>
      </c>
      <c r="P148" s="7" t="str">
        <f t="shared" si="12"/>
        <v/>
      </c>
    </row>
    <row r="149" spans="1:16" ht="17.25" x14ac:dyDescent="0.25">
      <c r="A149" s="10" t="s">
        <v>312</v>
      </c>
      <c r="B149" s="10"/>
      <c r="C149" s="10"/>
      <c r="D149" s="10"/>
      <c r="E149" s="10"/>
      <c r="F149" s="10"/>
      <c r="G149" s="10"/>
      <c r="H149" s="10"/>
      <c r="I149" s="6" t="str">
        <f>TRIM(SUBSTITUTE(INDEX([1]ТУ!$A:$G,MATCH($A149,[1]ТУ!$A:$A,0),3+I$7),"*",""))</f>
        <v/>
      </c>
      <c r="J149" s="6" t="str">
        <f>TRIM(SUBSTITUTE(INDEX([1]ТУ!$A:$G,MATCH($A149,[1]ТУ!$A:$A,0),3+J$7),"*",""))</f>
        <v/>
      </c>
      <c r="K149" s="6" t="str">
        <f>TRIM(SUBSTITUTE(INDEX([1]ТУ!$A:$G,MATCH($A149,[1]ТУ!$A:$A,0),3+K$7),"*",""))</f>
        <v/>
      </c>
      <c r="L149" s="6" t="str">
        <f>TRIM(SUBSTITUTE(INDEX([1]ТУ!$A:$G,MATCH($A149,[1]ТУ!$A:$A,0),3+L$7),"*",""))</f>
        <v/>
      </c>
      <c r="M149" s="7" t="str">
        <f t="shared" si="9"/>
        <v/>
      </c>
      <c r="N149" s="7" t="str">
        <f t="shared" si="10"/>
        <v/>
      </c>
      <c r="O149" s="7" t="str">
        <f t="shared" si="11"/>
        <v/>
      </c>
      <c r="P149" s="7" t="str">
        <f t="shared" si="12"/>
        <v/>
      </c>
    </row>
    <row r="150" spans="1:16" x14ac:dyDescent="0.25">
      <c r="A150" s="12" t="s">
        <v>200</v>
      </c>
      <c r="B150" s="12"/>
      <c r="C150" s="12"/>
      <c r="D150" s="12"/>
      <c r="E150" s="12"/>
      <c r="F150" s="12"/>
      <c r="G150" s="12"/>
      <c r="H150" s="12"/>
      <c r="I150" s="6" t="str">
        <f>TRIM(SUBSTITUTE(INDEX([1]ТУ!$A:$G,MATCH($A150,[1]ТУ!$A:$A,0),3+I$7),"*",""))</f>
        <v/>
      </c>
      <c r="J150" s="6" t="str">
        <f>TRIM(SUBSTITUTE(INDEX([1]ТУ!$A:$G,MATCH($A150,[1]ТУ!$A:$A,0),3+J$7),"*",""))</f>
        <v/>
      </c>
      <c r="K150" s="6" t="str">
        <f>TRIM(SUBSTITUTE(INDEX([1]ТУ!$A:$G,MATCH($A150,[1]ТУ!$A:$A,0),3+K$7),"*",""))</f>
        <v/>
      </c>
      <c r="L150" s="6" t="str">
        <f>TRIM(SUBSTITUTE(INDEX([1]ТУ!$A:$G,MATCH($A150,[1]ТУ!$A:$A,0),3+L$7),"*",""))</f>
        <v/>
      </c>
      <c r="M150" s="7" t="str">
        <f t="shared" si="9"/>
        <v/>
      </c>
      <c r="N150" s="7" t="str">
        <f t="shared" si="10"/>
        <v/>
      </c>
      <c r="O150" s="7" t="str">
        <f t="shared" si="11"/>
        <v/>
      </c>
      <c r="P150" s="7" t="str">
        <f t="shared" si="12"/>
        <v/>
      </c>
    </row>
    <row r="151" spans="1:16" x14ac:dyDescent="0.25">
      <c r="A151" s="11" t="s">
        <v>78</v>
      </c>
      <c r="B151" s="11" t="s">
        <v>79</v>
      </c>
      <c r="C151" s="11" t="s">
        <v>80</v>
      </c>
      <c r="D151" s="11" t="s">
        <v>81</v>
      </c>
      <c r="E151" s="11"/>
      <c r="F151" s="11"/>
      <c r="G151" s="11"/>
      <c r="H151" s="11" t="s">
        <v>82</v>
      </c>
      <c r="I151" s="6" t="str">
        <f>TRIM(SUBSTITUTE(INDEX([1]ТУ!$A:$G,MATCH($A151,[1]ТУ!$A:$A,0),3+I$7),"*",""))</f>
        <v>Задаваемый параметр</v>
      </c>
      <c r="J151" s="6" t="str">
        <f>TRIM(SUBSTITUTE(INDEX([1]ТУ!$A:$G,MATCH($A151,[1]ТУ!$A:$A,0),3+J$7),"*",""))</f>
        <v/>
      </c>
      <c r="K151" s="6" t="str">
        <f>TRIM(SUBSTITUTE(INDEX([1]ТУ!$A:$G,MATCH($A151,[1]ТУ!$A:$A,0),3+K$7),"*",""))</f>
        <v/>
      </c>
      <c r="L151" s="6" t="str">
        <f>TRIM(SUBSTITUTE(INDEX([1]ТУ!$A:$G,MATCH($A151,[1]ТУ!$A:$A,0),3+L$7),"*",""))</f>
        <v/>
      </c>
      <c r="M151" s="7" t="str">
        <f t="shared" si="9"/>
        <v/>
      </c>
      <c r="N151" s="7" t="str">
        <f t="shared" si="10"/>
        <v/>
      </c>
      <c r="O151" s="7" t="str">
        <f t="shared" si="11"/>
        <v/>
      </c>
      <c r="P151" s="7" t="str">
        <f t="shared" si="12"/>
        <v/>
      </c>
    </row>
    <row r="152" spans="1:16" x14ac:dyDescent="0.25">
      <c r="A152" s="11"/>
      <c r="B152" s="11"/>
      <c r="C152" s="11"/>
      <c r="D152" s="11"/>
      <c r="E152" s="11"/>
      <c r="F152" s="11"/>
      <c r="G152" s="11"/>
      <c r="H152" s="11"/>
      <c r="I152" s="6" t="e">
        <f>TRIM(SUBSTITUTE(INDEX([1]ТУ!$A:$G,MATCH($A152,[1]ТУ!$A:$A,0),3+I$7),"*",""))</f>
        <v>#N/A</v>
      </c>
      <c r="J152" s="6" t="e">
        <f>TRIM(SUBSTITUTE(INDEX([1]ТУ!$A:$G,MATCH($A152,[1]ТУ!$A:$A,0),3+J$7),"*",""))</f>
        <v>#N/A</v>
      </c>
      <c r="K152" s="6" t="e">
        <f>TRIM(SUBSTITUTE(INDEX([1]ТУ!$A:$G,MATCH($A152,[1]ТУ!$A:$A,0),3+K$7),"*",""))</f>
        <v>#N/A</v>
      </c>
      <c r="L152" s="6" t="e">
        <f>TRIM(SUBSTITUTE(INDEX([1]ТУ!$A:$G,MATCH($A152,[1]ТУ!$A:$A,0),3+L$7),"*",""))</f>
        <v>#N/A</v>
      </c>
      <c r="M152" s="7" t="str">
        <f t="shared" si="9"/>
        <v/>
      </c>
      <c r="N152" s="7" t="str">
        <f t="shared" si="10"/>
        <v/>
      </c>
      <c r="O152" s="7" t="str">
        <f t="shared" si="11"/>
        <v/>
      </c>
      <c r="P152" s="7" t="str">
        <f t="shared" si="12"/>
        <v/>
      </c>
    </row>
    <row r="153" spans="1:16" x14ac:dyDescent="0.25">
      <c r="A153" s="4" t="s">
        <v>313</v>
      </c>
      <c r="B153" s="2" t="s">
        <v>202</v>
      </c>
      <c r="C153" s="2" t="s">
        <v>203</v>
      </c>
      <c r="D153" s="8" t="s">
        <v>204</v>
      </c>
      <c r="E153" s="8"/>
      <c r="F153" s="8"/>
      <c r="G153" s="8"/>
      <c r="H153" s="2" t="s">
        <v>205</v>
      </c>
      <c r="I153" s="6" t="str">
        <f>TRIM(SUBSTITUTE(INDEX([1]ТУ!$A:$G,MATCH($A153,[1]ТУ!$A:$A,0),3+I$7),"*",""))</f>
        <v>0.06 сек</v>
      </c>
      <c r="J153" s="6" t="str">
        <f>TRIM(SUBSTITUTE(INDEX([1]ТУ!$A:$G,MATCH($A153,[1]ТУ!$A:$A,0),3+J$7),"*",""))</f>
        <v/>
      </c>
      <c r="K153" s="6" t="str">
        <f>TRIM(SUBSTITUTE(INDEX([1]ТУ!$A:$G,MATCH($A153,[1]ТУ!$A:$A,0),3+K$7),"*",""))</f>
        <v/>
      </c>
      <c r="L153" s="6" t="str">
        <f>TRIM(SUBSTITUTE(INDEX([1]ТУ!$A:$G,MATCH($A153,[1]ТУ!$A:$A,0),3+L$7),"*",""))</f>
        <v/>
      </c>
      <c r="M153" s="7" t="str">
        <f t="shared" si="9"/>
        <v/>
      </c>
      <c r="N153" s="7" t="str">
        <f t="shared" si="10"/>
        <v/>
      </c>
      <c r="O153" s="7" t="str">
        <f t="shared" si="11"/>
        <v/>
      </c>
      <c r="P153" s="7" t="str">
        <f t="shared" si="12"/>
        <v/>
      </c>
    </row>
    <row r="154" spans="1:16" x14ac:dyDescent="0.25">
      <c r="A154" s="4" t="s">
        <v>314</v>
      </c>
      <c r="B154" s="2" t="s">
        <v>207</v>
      </c>
      <c r="C154" s="2" t="s">
        <v>208</v>
      </c>
      <c r="D154" s="8" t="s">
        <v>209</v>
      </c>
      <c r="E154" s="8"/>
      <c r="F154" s="8"/>
      <c r="G154" s="8"/>
      <c r="H154" s="2" t="s">
        <v>210</v>
      </c>
      <c r="I154" s="6" t="str">
        <f>TRIM(SUBSTITUTE(INDEX([1]ТУ!$A:$G,MATCH($A154,[1]ТУ!$A:$A,0),3+I$7),"*",""))</f>
        <v>1</v>
      </c>
      <c r="J154" s="6" t="str">
        <f>TRIM(SUBSTITUTE(INDEX([1]ТУ!$A:$G,MATCH($A154,[1]ТУ!$A:$A,0),3+J$7),"*",""))</f>
        <v/>
      </c>
      <c r="K154" s="6" t="str">
        <f>TRIM(SUBSTITUTE(INDEX([1]ТУ!$A:$G,MATCH($A154,[1]ТУ!$A:$A,0),3+K$7),"*",""))</f>
        <v/>
      </c>
      <c r="L154" s="6" t="str">
        <f>TRIM(SUBSTITUTE(INDEX([1]ТУ!$A:$G,MATCH($A154,[1]ТУ!$A:$A,0),3+L$7),"*",""))</f>
        <v/>
      </c>
      <c r="M154" s="7">
        <f t="shared" si="9"/>
        <v>1</v>
      </c>
      <c r="N154" s="7" t="str">
        <f t="shared" si="10"/>
        <v/>
      </c>
      <c r="O154" s="7" t="str">
        <f t="shared" si="11"/>
        <v/>
      </c>
      <c r="P154" s="7" t="str">
        <f t="shared" si="12"/>
        <v/>
      </c>
    </row>
    <row r="155" spans="1:16" x14ac:dyDescent="0.25">
      <c r="A155" s="4" t="s">
        <v>315</v>
      </c>
      <c r="B155" s="2" t="s">
        <v>212</v>
      </c>
      <c r="C155" s="2" t="s">
        <v>213</v>
      </c>
      <c r="D155" s="8" t="s">
        <v>214</v>
      </c>
      <c r="E155" s="8"/>
      <c r="F155" s="8"/>
      <c r="G155" s="8"/>
      <c r="H155" s="2" t="s">
        <v>215</v>
      </c>
      <c r="I155" s="6" t="str">
        <f>TRIM(SUBSTITUTE(INDEX([1]ТУ!$A:$G,MATCH($A155,[1]ТУ!$A:$A,0),3+I$7),"*",""))</f>
        <v>330 °</v>
      </c>
      <c r="J155" s="6" t="str">
        <f>TRIM(SUBSTITUTE(INDEX([1]ТУ!$A:$G,MATCH($A155,[1]ТУ!$A:$A,0),3+J$7),"*",""))</f>
        <v/>
      </c>
      <c r="K155" s="6" t="str">
        <f>TRIM(SUBSTITUTE(INDEX([1]ТУ!$A:$G,MATCH($A155,[1]ТУ!$A:$A,0),3+K$7),"*",""))</f>
        <v/>
      </c>
      <c r="L155" s="6" t="str">
        <f>TRIM(SUBSTITUTE(INDEX([1]ТУ!$A:$G,MATCH($A155,[1]ТУ!$A:$A,0),3+L$7),"*",""))</f>
        <v/>
      </c>
      <c r="M155" s="7" t="str">
        <f t="shared" si="9"/>
        <v/>
      </c>
      <c r="N155" s="7" t="str">
        <f t="shared" si="10"/>
        <v/>
      </c>
      <c r="O155" s="7" t="str">
        <f t="shared" si="11"/>
        <v/>
      </c>
      <c r="P155" s="7" t="str">
        <f t="shared" si="12"/>
        <v/>
      </c>
    </row>
    <row r="156" spans="1:16" x14ac:dyDescent="0.25">
      <c r="A156" s="4" t="s">
        <v>316</v>
      </c>
      <c r="B156" s="2" t="s">
        <v>217</v>
      </c>
      <c r="C156" s="2" t="s">
        <v>218</v>
      </c>
      <c r="D156" s="8" t="s">
        <v>189</v>
      </c>
      <c r="E156" s="8"/>
      <c r="F156" s="8"/>
      <c r="G156" s="8"/>
      <c r="H156" s="2" t="s">
        <v>219</v>
      </c>
      <c r="I156" s="6" t="str">
        <f>TRIM(SUBSTITUTE(INDEX([1]ТУ!$A:$G,MATCH($A156,[1]ТУ!$A:$A,0),3+I$7),"*",""))</f>
        <v>100 В</v>
      </c>
      <c r="J156" s="6" t="str">
        <f>TRIM(SUBSTITUTE(INDEX([1]ТУ!$A:$G,MATCH($A156,[1]ТУ!$A:$A,0),3+J$7),"*",""))</f>
        <v/>
      </c>
      <c r="K156" s="6" t="str">
        <f>TRIM(SUBSTITUTE(INDEX([1]ТУ!$A:$G,MATCH($A156,[1]ТУ!$A:$A,0),3+K$7),"*",""))</f>
        <v/>
      </c>
      <c r="L156" s="6" t="str">
        <f>TRIM(SUBSTITUTE(INDEX([1]ТУ!$A:$G,MATCH($A156,[1]ТУ!$A:$A,0),3+L$7),"*",""))</f>
        <v/>
      </c>
      <c r="M156" s="7">
        <f t="shared" si="9"/>
        <v>1</v>
      </c>
      <c r="N156" s="7" t="str">
        <f t="shared" si="10"/>
        <v/>
      </c>
      <c r="O156" s="7" t="str">
        <f t="shared" si="11"/>
        <v/>
      </c>
      <c r="P156" s="7" t="str">
        <f t="shared" si="12"/>
        <v/>
      </c>
    </row>
    <row r="157" spans="1:16" x14ac:dyDescent="0.25">
      <c r="A157" s="4" t="s">
        <v>317</v>
      </c>
      <c r="B157" s="2" t="s">
        <v>221</v>
      </c>
      <c r="C157" s="2" t="s">
        <v>218</v>
      </c>
      <c r="D157" s="8" t="s">
        <v>189</v>
      </c>
      <c r="E157" s="8"/>
      <c r="F157" s="8"/>
      <c r="G157" s="8"/>
      <c r="H157" s="2" t="s">
        <v>219</v>
      </c>
      <c r="I157" s="6" t="str">
        <f>TRIM(SUBSTITUTE(INDEX([1]ТУ!$A:$G,MATCH($A157,[1]ТУ!$A:$A,0),3+I$7),"*",""))</f>
        <v>100 В</v>
      </c>
      <c r="J157" s="6" t="str">
        <f>TRIM(SUBSTITUTE(INDEX([1]ТУ!$A:$G,MATCH($A157,[1]ТУ!$A:$A,0),3+J$7),"*",""))</f>
        <v/>
      </c>
      <c r="K157" s="6" t="str">
        <f>TRIM(SUBSTITUTE(INDEX([1]ТУ!$A:$G,MATCH($A157,[1]ТУ!$A:$A,0),3+K$7),"*",""))</f>
        <v/>
      </c>
      <c r="L157" s="6" t="str">
        <f>TRIM(SUBSTITUTE(INDEX([1]ТУ!$A:$G,MATCH($A157,[1]ТУ!$A:$A,0),3+L$7),"*",""))</f>
        <v/>
      </c>
      <c r="M157" s="7">
        <f t="shared" si="9"/>
        <v>1</v>
      </c>
      <c r="N157" s="7" t="str">
        <f t="shared" si="10"/>
        <v/>
      </c>
      <c r="O157" s="7" t="str">
        <f t="shared" si="11"/>
        <v/>
      </c>
      <c r="P157" s="7" t="str">
        <f t="shared" si="12"/>
        <v/>
      </c>
    </row>
    <row r="158" spans="1:16" x14ac:dyDescent="0.25">
      <c r="A158" s="12" t="s">
        <v>84</v>
      </c>
      <c r="B158" s="12"/>
      <c r="C158" s="12"/>
      <c r="D158" s="12"/>
      <c r="E158" s="12"/>
      <c r="F158" s="12"/>
      <c r="G158" s="12"/>
      <c r="H158" s="12"/>
      <c r="I158" s="6" t="str">
        <f>TRIM(SUBSTITUTE(INDEX([1]ТУ!$A:$G,MATCH($A158,[1]ТУ!$A:$A,0),3+I$7),"*",""))</f>
        <v/>
      </c>
      <c r="J158" s="6" t="str">
        <f>TRIM(SUBSTITUTE(INDEX([1]ТУ!$A:$G,MATCH($A158,[1]ТУ!$A:$A,0),3+J$7),"*",""))</f>
        <v/>
      </c>
      <c r="K158" s="6" t="str">
        <f>TRIM(SUBSTITUTE(INDEX([1]ТУ!$A:$G,MATCH($A158,[1]ТУ!$A:$A,0),3+K$7),"*",""))</f>
        <v/>
      </c>
      <c r="L158" s="6" t="str">
        <f>TRIM(SUBSTITUTE(INDEX([1]ТУ!$A:$G,MATCH($A158,[1]ТУ!$A:$A,0),3+L$7),"*",""))</f>
        <v/>
      </c>
      <c r="M158" s="7" t="str">
        <f t="shared" si="9"/>
        <v/>
      </c>
      <c r="N158" s="7" t="str">
        <f t="shared" si="10"/>
        <v/>
      </c>
      <c r="O158" s="7" t="str">
        <f t="shared" si="11"/>
        <v/>
      </c>
      <c r="P158" s="7" t="str">
        <f t="shared" si="12"/>
        <v/>
      </c>
    </row>
    <row r="159" spans="1:16" x14ac:dyDescent="0.25">
      <c r="A159" s="11" t="s">
        <v>78</v>
      </c>
      <c r="B159" s="11" t="s">
        <v>79</v>
      </c>
      <c r="C159" s="11" t="s">
        <v>80</v>
      </c>
      <c r="D159" s="11" t="s">
        <v>81</v>
      </c>
      <c r="E159" s="11"/>
      <c r="F159" s="11"/>
      <c r="G159" s="11"/>
      <c r="H159" s="11" t="s">
        <v>82</v>
      </c>
      <c r="I159" s="6" t="str">
        <f>TRIM(SUBSTITUTE(INDEX([1]ТУ!$A:$G,MATCH($A159,[1]ТУ!$A:$A,0),3+I$7),"*",""))</f>
        <v>Задаваемый параметр</v>
      </c>
      <c r="J159" s="6" t="str">
        <f>TRIM(SUBSTITUTE(INDEX([1]ТУ!$A:$G,MATCH($A159,[1]ТУ!$A:$A,0),3+J$7),"*",""))</f>
        <v/>
      </c>
      <c r="K159" s="6" t="str">
        <f>TRIM(SUBSTITUTE(INDEX([1]ТУ!$A:$G,MATCH($A159,[1]ТУ!$A:$A,0),3+K$7),"*",""))</f>
        <v/>
      </c>
      <c r="L159" s="6" t="str">
        <f>TRIM(SUBSTITUTE(INDEX([1]ТУ!$A:$G,MATCH($A159,[1]ТУ!$A:$A,0),3+L$7),"*",""))</f>
        <v/>
      </c>
      <c r="M159" s="7" t="str">
        <f t="shared" si="9"/>
        <v/>
      </c>
      <c r="N159" s="7" t="str">
        <f t="shared" si="10"/>
        <v/>
      </c>
      <c r="O159" s="7" t="str">
        <f t="shared" si="11"/>
        <v/>
      </c>
      <c r="P159" s="7" t="str">
        <f t="shared" si="12"/>
        <v/>
      </c>
    </row>
    <row r="160" spans="1:16" x14ac:dyDescent="0.25">
      <c r="A160" s="11"/>
      <c r="B160" s="11"/>
      <c r="C160" s="11"/>
      <c r="D160" s="11"/>
      <c r="E160" s="11"/>
      <c r="F160" s="11"/>
      <c r="G160" s="11"/>
      <c r="H160" s="11"/>
      <c r="I160" s="6" t="e">
        <f>TRIM(SUBSTITUTE(INDEX([1]ТУ!$A:$G,MATCH($A160,[1]ТУ!$A:$A,0),3+I$7),"*",""))</f>
        <v>#N/A</v>
      </c>
      <c r="J160" s="6" t="e">
        <f>TRIM(SUBSTITUTE(INDEX([1]ТУ!$A:$G,MATCH($A160,[1]ТУ!$A:$A,0),3+J$7),"*",""))</f>
        <v>#N/A</v>
      </c>
      <c r="K160" s="6" t="e">
        <f>TRIM(SUBSTITUTE(INDEX([1]ТУ!$A:$G,MATCH($A160,[1]ТУ!$A:$A,0),3+K$7),"*",""))</f>
        <v>#N/A</v>
      </c>
      <c r="L160" s="6" t="e">
        <f>TRIM(SUBSTITUTE(INDEX([1]ТУ!$A:$G,MATCH($A160,[1]ТУ!$A:$A,0),3+L$7),"*",""))</f>
        <v>#N/A</v>
      </c>
      <c r="M160" s="7" t="str">
        <f t="shared" si="9"/>
        <v/>
      </c>
      <c r="N160" s="7" t="str">
        <f t="shared" si="10"/>
        <v/>
      </c>
      <c r="O160" s="7" t="str">
        <f t="shared" si="11"/>
        <v/>
      </c>
      <c r="P160" s="7" t="str">
        <f t="shared" si="12"/>
        <v/>
      </c>
    </row>
    <row r="161" spans="1:16" x14ac:dyDescent="0.25">
      <c r="A161" s="4" t="s">
        <v>318</v>
      </c>
      <c r="B161" s="2" t="s">
        <v>223</v>
      </c>
      <c r="C161" s="2" t="s">
        <v>224</v>
      </c>
      <c r="D161" s="8" t="s">
        <v>225</v>
      </c>
      <c r="E161" s="8"/>
      <c r="F161" s="8"/>
      <c r="G161" s="8"/>
      <c r="H161" s="2" t="s">
        <v>226</v>
      </c>
      <c r="I161" s="6" t="str">
        <f>TRIM(SUBSTITUTE(INDEX([1]ТУ!$A:$G,MATCH($A161,[1]ТУ!$A:$A,0),3+I$7),"*",""))</f>
        <v>60 В</v>
      </c>
      <c r="J161" s="6" t="str">
        <f>TRIM(SUBSTITUTE(INDEX([1]ТУ!$A:$G,MATCH($A161,[1]ТУ!$A:$A,0),3+J$7),"*",""))</f>
        <v/>
      </c>
      <c r="K161" s="6" t="str">
        <f>TRIM(SUBSTITUTE(INDEX([1]ТУ!$A:$G,MATCH($A161,[1]ТУ!$A:$A,0),3+K$7),"*",""))</f>
        <v/>
      </c>
      <c r="L161" s="6" t="str">
        <f>TRIM(SUBSTITUTE(INDEX([1]ТУ!$A:$G,MATCH($A161,[1]ТУ!$A:$A,0),3+L$7),"*",""))</f>
        <v/>
      </c>
      <c r="M161" s="7" t="str">
        <f t="shared" si="9"/>
        <v/>
      </c>
      <c r="N161" s="7" t="str">
        <f t="shared" si="10"/>
        <v/>
      </c>
      <c r="O161" s="7" t="str">
        <f t="shared" si="11"/>
        <v/>
      </c>
      <c r="P161" s="7" t="str">
        <f t="shared" si="12"/>
        <v/>
      </c>
    </row>
    <row r="162" spans="1:16" x14ac:dyDescent="0.25">
      <c r="A162" s="4" t="s">
        <v>319</v>
      </c>
      <c r="B162" s="2" t="s">
        <v>228</v>
      </c>
      <c r="C162" s="2" t="s">
        <v>229</v>
      </c>
      <c r="D162" s="8" t="s">
        <v>230</v>
      </c>
      <c r="E162" s="8"/>
      <c r="F162" s="8"/>
      <c r="G162" s="8"/>
      <c r="H162" s="2" t="s">
        <v>231</v>
      </c>
      <c r="I162" s="6" t="str">
        <f>TRIM(SUBSTITUTE(INDEX([1]ТУ!$A:$G,MATCH($A162,[1]ТУ!$A:$A,0),3+I$7),"*",""))</f>
        <v>120 В</v>
      </c>
      <c r="J162" s="6" t="str">
        <f>TRIM(SUBSTITUTE(INDEX([1]ТУ!$A:$G,MATCH($A162,[1]ТУ!$A:$A,0),3+J$7),"*",""))</f>
        <v/>
      </c>
      <c r="K162" s="6" t="str">
        <f>TRIM(SUBSTITUTE(INDEX([1]ТУ!$A:$G,MATCH($A162,[1]ТУ!$A:$A,0),3+K$7),"*",""))</f>
        <v/>
      </c>
      <c r="L162" s="6" t="str">
        <f>TRIM(SUBSTITUTE(INDEX([1]ТУ!$A:$G,MATCH($A162,[1]ТУ!$A:$A,0),3+L$7),"*",""))</f>
        <v/>
      </c>
      <c r="M162" s="7" t="str">
        <f t="shared" si="9"/>
        <v/>
      </c>
      <c r="N162" s="7" t="str">
        <f t="shared" si="10"/>
        <v/>
      </c>
      <c r="O162" s="7" t="str">
        <f t="shared" si="11"/>
        <v/>
      </c>
      <c r="P162" s="7" t="str">
        <f t="shared" si="12"/>
        <v/>
      </c>
    </row>
    <row r="163" spans="1:16" x14ac:dyDescent="0.25">
      <c r="A163" s="4" t="s">
        <v>320</v>
      </c>
      <c r="B163" s="2" t="s">
        <v>233</v>
      </c>
      <c r="C163" s="2" t="s">
        <v>234</v>
      </c>
      <c r="D163" s="8" t="s">
        <v>235</v>
      </c>
      <c r="E163" s="8"/>
      <c r="F163" s="8"/>
      <c r="G163" s="8"/>
      <c r="H163" s="2" t="s">
        <v>236</v>
      </c>
      <c r="I163" s="6" t="str">
        <f>TRIM(SUBSTITUTE(INDEX([1]ТУ!$A:$G,MATCH($A163,[1]ТУ!$A:$A,0),3+I$7),"*",""))</f>
        <v>50 В</v>
      </c>
      <c r="J163" s="6" t="str">
        <f>TRIM(SUBSTITUTE(INDEX([1]ТУ!$A:$G,MATCH($A163,[1]ТУ!$A:$A,0),3+J$7),"*",""))</f>
        <v/>
      </c>
      <c r="K163" s="6" t="str">
        <f>TRIM(SUBSTITUTE(INDEX([1]ТУ!$A:$G,MATCH($A163,[1]ТУ!$A:$A,0),3+K$7),"*",""))</f>
        <v/>
      </c>
      <c r="L163" s="6" t="str">
        <f>TRIM(SUBSTITUTE(INDEX([1]ТУ!$A:$G,MATCH($A163,[1]ТУ!$A:$A,0),3+L$7),"*",""))</f>
        <v/>
      </c>
      <c r="M163" s="7" t="str">
        <f t="shared" si="9"/>
        <v/>
      </c>
      <c r="N163" s="7" t="str">
        <f t="shared" si="10"/>
        <v/>
      </c>
      <c r="O163" s="7" t="str">
        <f t="shared" si="11"/>
        <v/>
      </c>
      <c r="P163" s="7" t="str">
        <f t="shared" si="12"/>
        <v/>
      </c>
    </row>
    <row r="164" spans="1:16" ht="30" x14ac:dyDescent="0.25">
      <c r="A164" s="4" t="s">
        <v>321</v>
      </c>
      <c r="B164" s="2" t="s">
        <v>238</v>
      </c>
      <c r="C164" s="2" t="s">
        <v>239</v>
      </c>
      <c r="D164" s="8" t="s">
        <v>322</v>
      </c>
      <c r="E164" s="8"/>
      <c r="F164" s="8"/>
      <c r="G164" s="8"/>
      <c r="H164" s="2" t="s">
        <v>240</v>
      </c>
      <c r="I164" s="6" t="str">
        <f>TRIM(SUBSTITUTE(INDEX([1]ТУ!$A:$G,MATCH($A164,[1]ТУ!$A:$A,0),3+I$7),"*",""))</f>
        <v>ДА</v>
      </c>
      <c r="J164" s="6" t="str">
        <f>TRIM(SUBSTITUTE(INDEX([1]ТУ!$A:$G,MATCH($A164,[1]ТУ!$A:$A,0),3+J$7),"*",""))</f>
        <v/>
      </c>
      <c r="K164" s="6" t="str">
        <f>TRIM(SUBSTITUTE(INDEX([1]ТУ!$A:$G,MATCH($A164,[1]ТУ!$A:$A,0),3+K$7),"*",""))</f>
        <v/>
      </c>
      <c r="L164" s="6" t="str">
        <f>TRIM(SUBSTITUTE(INDEX([1]ТУ!$A:$G,MATCH($A164,[1]ТУ!$A:$A,0),3+L$7),"*",""))</f>
        <v/>
      </c>
      <c r="M164" s="7" t="str">
        <f t="shared" si="9"/>
        <v/>
      </c>
      <c r="N164" s="7" t="str">
        <f t="shared" si="10"/>
        <v/>
      </c>
      <c r="O164" s="7" t="str">
        <f t="shared" si="11"/>
        <v/>
      </c>
      <c r="P164" s="7" t="str">
        <f t="shared" si="12"/>
        <v/>
      </c>
    </row>
    <row r="165" spans="1:16" ht="30" x14ac:dyDescent="0.25">
      <c r="A165" s="4" t="s">
        <v>323</v>
      </c>
      <c r="B165" s="2" t="s">
        <v>242</v>
      </c>
      <c r="C165" s="2" t="s">
        <v>239</v>
      </c>
      <c r="D165" s="8" t="s">
        <v>322</v>
      </c>
      <c r="E165" s="8"/>
      <c r="F165" s="8"/>
      <c r="G165" s="8"/>
      <c r="H165" s="2" t="s">
        <v>243</v>
      </c>
      <c r="I165" s="6" t="str">
        <f>TRIM(SUBSTITUTE(INDEX([1]ТУ!$A:$G,MATCH($A165,[1]ТУ!$A:$A,0),3+I$7),"*",""))</f>
        <v>ДА</v>
      </c>
      <c r="J165" s="6" t="str">
        <f>TRIM(SUBSTITUTE(INDEX([1]ТУ!$A:$G,MATCH($A165,[1]ТУ!$A:$A,0),3+J$7),"*",""))</f>
        <v/>
      </c>
      <c r="K165" s="6" t="str">
        <f>TRIM(SUBSTITUTE(INDEX([1]ТУ!$A:$G,MATCH($A165,[1]ТУ!$A:$A,0),3+K$7),"*",""))</f>
        <v/>
      </c>
      <c r="L165" s="6" t="str">
        <f>TRIM(SUBSTITUTE(INDEX([1]ТУ!$A:$G,MATCH($A165,[1]ТУ!$A:$A,0),3+L$7),"*",""))</f>
        <v/>
      </c>
      <c r="M165" s="7" t="str">
        <f t="shared" si="9"/>
        <v/>
      </c>
      <c r="N165" s="7" t="str">
        <f t="shared" si="10"/>
        <v/>
      </c>
      <c r="O165" s="7" t="str">
        <f t="shared" si="11"/>
        <v/>
      </c>
      <c r="P165" s="7" t="str">
        <f t="shared" si="12"/>
        <v/>
      </c>
    </row>
    <row r="166" spans="1:16" ht="30" x14ac:dyDescent="0.25">
      <c r="A166" s="4" t="s">
        <v>324</v>
      </c>
      <c r="B166" s="2" t="s">
        <v>245</v>
      </c>
      <c r="C166" s="2" t="s">
        <v>239</v>
      </c>
      <c r="D166" s="8" t="s">
        <v>322</v>
      </c>
      <c r="E166" s="8"/>
      <c r="F166" s="8"/>
      <c r="G166" s="8"/>
      <c r="H166" s="2" t="s">
        <v>246</v>
      </c>
      <c r="I166" s="6" t="str">
        <f>TRIM(SUBSTITUTE(INDEX([1]ТУ!$A:$G,MATCH($A166,[1]ТУ!$A:$A,0),3+I$7),"*",""))</f>
        <v>ДА</v>
      </c>
      <c r="J166" s="6" t="str">
        <f>TRIM(SUBSTITUTE(INDEX([1]ТУ!$A:$G,MATCH($A166,[1]ТУ!$A:$A,0),3+J$7),"*",""))</f>
        <v/>
      </c>
      <c r="K166" s="6" t="str">
        <f>TRIM(SUBSTITUTE(INDEX([1]ТУ!$A:$G,MATCH($A166,[1]ТУ!$A:$A,0),3+K$7),"*",""))</f>
        <v/>
      </c>
      <c r="L166" s="6" t="str">
        <f>TRIM(SUBSTITUTE(INDEX([1]ТУ!$A:$G,MATCH($A166,[1]ТУ!$A:$A,0),3+L$7),"*",""))</f>
        <v/>
      </c>
      <c r="M166" s="7" t="str">
        <f t="shared" si="9"/>
        <v/>
      </c>
      <c r="N166" s="7" t="str">
        <f t="shared" si="10"/>
        <v/>
      </c>
      <c r="O166" s="7" t="str">
        <f t="shared" si="11"/>
        <v/>
      </c>
      <c r="P166" s="7" t="str">
        <f t="shared" si="12"/>
        <v/>
      </c>
    </row>
    <row r="167" spans="1:16" x14ac:dyDescent="0.25">
      <c r="A167" s="4" t="s">
        <v>325</v>
      </c>
      <c r="B167" s="2" t="s">
        <v>248</v>
      </c>
      <c r="C167" s="2" t="s">
        <v>249</v>
      </c>
      <c r="D167" s="8" t="s">
        <v>250</v>
      </c>
      <c r="E167" s="8"/>
      <c r="F167" s="8"/>
      <c r="G167" s="8"/>
      <c r="H167" s="2" t="s">
        <v>251</v>
      </c>
      <c r="I167" s="6" t="str">
        <f>TRIM(SUBSTITUTE(INDEX([1]ТУ!$A:$G,MATCH($A167,[1]ТУ!$A:$A,0),3+I$7),"*",""))</f>
        <v>60 сек</v>
      </c>
      <c r="J167" s="6" t="str">
        <f>TRIM(SUBSTITUTE(INDEX([1]ТУ!$A:$G,MATCH($A167,[1]ТУ!$A:$A,0),3+J$7),"*",""))</f>
        <v/>
      </c>
      <c r="K167" s="6" t="str">
        <f>TRIM(SUBSTITUTE(INDEX([1]ТУ!$A:$G,MATCH($A167,[1]ТУ!$A:$A,0),3+K$7),"*",""))</f>
        <v/>
      </c>
      <c r="L167" s="6" t="str">
        <f>TRIM(SUBSTITUTE(INDEX([1]ТУ!$A:$G,MATCH($A167,[1]ТУ!$A:$A,0),3+L$7),"*",""))</f>
        <v/>
      </c>
      <c r="M167" s="7">
        <f t="shared" si="9"/>
        <v>1</v>
      </c>
      <c r="N167" s="7" t="str">
        <f t="shared" si="10"/>
        <v/>
      </c>
      <c r="O167" s="7" t="str">
        <f t="shared" si="11"/>
        <v/>
      </c>
      <c r="P167" s="7" t="str">
        <f t="shared" si="12"/>
        <v/>
      </c>
    </row>
    <row r="168" spans="1:16" x14ac:dyDescent="0.25">
      <c r="A168" s="4" t="s">
        <v>326</v>
      </c>
      <c r="B168" s="2" t="s">
        <v>253</v>
      </c>
      <c r="C168" s="2" t="s">
        <v>254</v>
      </c>
      <c r="D168" s="8" t="s">
        <v>255</v>
      </c>
      <c r="E168" s="8"/>
      <c r="F168" s="8"/>
      <c r="G168" s="8"/>
      <c r="H168" s="2" t="s">
        <v>256</v>
      </c>
      <c r="I168" s="6" t="str">
        <f>TRIM(SUBSTITUTE(INDEX([1]ТУ!$A:$G,MATCH($A168,[1]ТУ!$A:$A,0),3+I$7),"*",""))</f>
        <v>97 %</v>
      </c>
      <c r="J168" s="6" t="str">
        <f>TRIM(SUBSTITUTE(INDEX([1]ТУ!$A:$G,MATCH($A168,[1]ТУ!$A:$A,0),3+J$7),"*",""))</f>
        <v/>
      </c>
      <c r="K168" s="6" t="str">
        <f>TRIM(SUBSTITUTE(INDEX([1]ТУ!$A:$G,MATCH($A168,[1]ТУ!$A:$A,0),3+K$7),"*",""))</f>
        <v/>
      </c>
      <c r="L168" s="6" t="str">
        <f>TRIM(SUBSTITUTE(INDEX([1]ТУ!$A:$G,MATCH($A168,[1]ТУ!$A:$A,0),3+L$7),"*",""))</f>
        <v/>
      </c>
      <c r="M168" s="7" t="str">
        <f t="shared" si="9"/>
        <v/>
      </c>
      <c r="N168" s="7" t="str">
        <f t="shared" si="10"/>
        <v/>
      </c>
      <c r="O168" s="7" t="str">
        <f t="shared" si="11"/>
        <v/>
      </c>
      <c r="P168" s="7" t="str">
        <f t="shared" si="12"/>
        <v/>
      </c>
    </row>
    <row r="169" spans="1:16" x14ac:dyDescent="0.25">
      <c r="A169" s="4" t="s">
        <v>327</v>
      </c>
      <c r="B169" s="2" t="s">
        <v>258</v>
      </c>
      <c r="C169" s="2" t="s">
        <v>254</v>
      </c>
      <c r="D169" s="8" t="s">
        <v>259</v>
      </c>
      <c r="E169" s="8"/>
      <c r="F169" s="8"/>
      <c r="G169" s="8"/>
      <c r="H169" s="2" t="s">
        <v>260</v>
      </c>
      <c r="I169" s="6" t="str">
        <f>TRIM(SUBSTITUTE(INDEX([1]ТУ!$A:$G,MATCH($A169,[1]ТУ!$A:$A,0),3+I$7),"*",""))</f>
        <v>101 %</v>
      </c>
      <c r="J169" s="6" t="str">
        <f>TRIM(SUBSTITUTE(INDEX([1]ТУ!$A:$G,MATCH($A169,[1]ТУ!$A:$A,0),3+J$7),"*",""))</f>
        <v/>
      </c>
      <c r="K169" s="6" t="str">
        <f>TRIM(SUBSTITUTE(INDEX([1]ТУ!$A:$G,MATCH($A169,[1]ТУ!$A:$A,0),3+K$7),"*",""))</f>
        <v/>
      </c>
      <c r="L169" s="6" t="str">
        <f>TRIM(SUBSTITUTE(INDEX([1]ТУ!$A:$G,MATCH($A169,[1]ТУ!$A:$A,0),3+L$7),"*",""))</f>
        <v/>
      </c>
      <c r="M169" s="7" t="str">
        <f t="shared" si="9"/>
        <v/>
      </c>
      <c r="N169" s="7" t="str">
        <f t="shared" si="10"/>
        <v/>
      </c>
      <c r="O169" s="7" t="str">
        <f t="shared" si="11"/>
        <v/>
      </c>
      <c r="P169" s="7" t="str">
        <f t="shared" si="12"/>
        <v/>
      </c>
    </row>
    <row r="170" spans="1:16" x14ac:dyDescent="0.25">
      <c r="A170" s="12" t="s">
        <v>261</v>
      </c>
      <c r="B170" s="12"/>
      <c r="C170" s="12"/>
      <c r="D170" s="12"/>
      <c r="E170" s="12"/>
      <c r="F170" s="12"/>
      <c r="G170" s="12"/>
      <c r="H170" s="12"/>
      <c r="I170" s="6" t="str">
        <f>TRIM(SUBSTITUTE(INDEX([1]ТУ!$A:$G,MATCH($A170,[1]ТУ!$A:$A,0),3+I$7),"*",""))</f>
        <v/>
      </c>
      <c r="J170" s="6" t="str">
        <f>TRIM(SUBSTITUTE(INDEX([1]ТУ!$A:$G,MATCH($A170,[1]ТУ!$A:$A,0),3+J$7),"*",""))</f>
        <v/>
      </c>
      <c r="K170" s="6" t="str">
        <f>TRIM(SUBSTITUTE(INDEX([1]ТУ!$A:$G,MATCH($A170,[1]ТУ!$A:$A,0),3+K$7),"*",""))</f>
        <v/>
      </c>
      <c r="L170" s="6" t="str">
        <f>TRIM(SUBSTITUTE(INDEX([1]ТУ!$A:$G,MATCH($A170,[1]ТУ!$A:$A,0),3+L$7),"*",""))</f>
        <v/>
      </c>
      <c r="M170" s="7" t="str">
        <f t="shared" si="9"/>
        <v/>
      </c>
      <c r="N170" s="7" t="str">
        <f t="shared" si="10"/>
        <v/>
      </c>
      <c r="O170" s="7" t="str">
        <f t="shared" si="11"/>
        <v/>
      </c>
      <c r="P170" s="7" t="str">
        <f t="shared" si="12"/>
        <v/>
      </c>
    </row>
    <row r="171" spans="1:16" x14ac:dyDescent="0.25">
      <c r="A171" s="11" t="s">
        <v>78</v>
      </c>
      <c r="B171" s="11" t="s">
        <v>79</v>
      </c>
      <c r="C171" s="11" t="s">
        <v>80</v>
      </c>
      <c r="D171" s="11" t="s">
        <v>81</v>
      </c>
      <c r="E171" s="11"/>
      <c r="F171" s="11"/>
      <c r="G171" s="11"/>
      <c r="H171" s="11" t="s">
        <v>82</v>
      </c>
      <c r="I171" s="6" t="str">
        <f>TRIM(SUBSTITUTE(INDEX([1]ТУ!$A:$G,MATCH($A171,[1]ТУ!$A:$A,0),3+I$7),"*",""))</f>
        <v>Задаваемый параметр</v>
      </c>
      <c r="J171" s="6" t="str">
        <f>TRIM(SUBSTITUTE(INDEX([1]ТУ!$A:$G,MATCH($A171,[1]ТУ!$A:$A,0),3+J$7),"*",""))</f>
        <v/>
      </c>
      <c r="K171" s="6" t="str">
        <f>TRIM(SUBSTITUTE(INDEX([1]ТУ!$A:$G,MATCH($A171,[1]ТУ!$A:$A,0),3+K$7),"*",""))</f>
        <v/>
      </c>
      <c r="L171" s="6" t="str">
        <f>TRIM(SUBSTITUTE(INDEX([1]ТУ!$A:$G,MATCH($A171,[1]ТУ!$A:$A,0),3+L$7),"*",""))</f>
        <v/>
      </c>
      <c r="M171" s="7" t="str">
        <f t="shared" si="9"/>
        <v/>
      </c>
      <c r="N171" s="7" t="str">
        <f t="shared" si="10"/>
        <v/>
      </c>
      <c r="O171" s="7" t="str">
        <f t="shared" si="11"/>
        <v/>
      </c>
      <c r="P171" s="7" t="str">
        <f t="shared" si="12"/>
        <v/>
      </c>
    </row>
    <row r="172" spans="1:16" x14ac:dyDescent="0.25">
      <c r="A172" s="11"/>
      <c r="B172" s="11"/>
      <c r="C172" s="11"/>
      <c r="D172" s="11"/>
      <c r="E172" s="11"/>
      <c r="F172" s="11"/>
      <c r="G172" s="11"/>
      <c r="H172" s="11"/>
      <c r="I172" s="6" t="e">
        <f>TRIM(SUBSTITUTE(INDEX([1]ТУ!$A:$G,MATCH($A172,[1]ТУ!$A:$A,0),3+I$7),"*",""))</f>
        <v>#N/A</v>
      </c>
      <c r="J172" s="6" t="e">
        <f>TRIM(SUBSTITUTE(INDEX([1]ТУ!$A:$G,MATCH($A172,[1]ТУ!$A:$A,0),3+J$7),"*",""))</f>
        <v>#N/A</v>
      </c>
      <c r="K172" s="6" t="e">
        <f>TRIM(SUBSTITUTE(INDEX([1]ТУ!$A:$G,MATCH($A172,[1]ТУ!$A:$A,0),3+K$7),"*",""))</f>
        <v>#N/A</v>
      </c>
      <c r="L172" s="6" t="e">
        <f>TRIM(SUBSTITUTE(INDEX([1]ТУ!$A:$G,MATCH($A172,[1]ТУ!$A:$A,0),3+L$7),"*",""))</f>
        <v>#N/A</v>
      </c>
      <c r="M172" s="7" t="str">
        <f t="shared" si="9"/>
        <v/>
      </c>
      <c r="N172" s="7" t="str">
        <f t="shared" si="10"/>
        <v/>
      </c>
      <c r="O172" s="7" t="str">
        <f t="shared" si="11"/>
        <v/>
      </c>
      <c r="P172" s="7" t="str">
        <f t="shared" si="12"/>
        <v/>
      </c>
    </row>
    <row r="173" spans="1:16" x14ac:dyDescent="0.25">
      <c r="A173" s="4" t="s">
        <v>328</v>
      </c>
      <c r="B173" s="2" t="s">
        <v>263</v>
      </c>
      <c r="C173" s="2" t="s">
        <v>264</v>
      </c>
      <c r="D173" s="8" t="s">
        <v>265</v>
      </c>
      <c r="E173" s="8"/>
      <c r="F173" s="8"/>
      <c r="G173" s="8"/>
      <c r="H173" s="2" t="s">
        <v>266</v>
      </c>
      <c r="I173" s="6" t="str">
        <f>TRIM(SUBSTITUTE(INDEX([1]ТУ!$A:$G,MATCH($A173,[1]ТУ!$A:$A,0),3+I$7),"*",""))</f>
        <v>22.7 В</v>
      </c>
      <c r="J173" s="6" t="str">
        <f>TRIM(SUBSTITUTE(INDEX([1]ТУ!$A:$G,MATCH($A173,[1]ТУ!$A:$A,0),3+J$7),"*",""))</f>
        <v/>
      </c>
      <c r="K173" s="6" t="str">
        <f>TRIM(SUBSTITUTE(INDEX([1]ТУ!$A:$G,MATCH($A173,[1]ТУ!$A:$A,0),3+K$7),"*",""))</f>
        <v/>
      </c>
      <c r="L173" s="6" t="str">
        <f>TRIM(SUBSTITUTE(INDEX([1]ТУ!$A:$G,MATCH($A173,[1]ТУ!$A:$A,0),3+L$7),"*",""))</f>
        <v/>
      </c>
      <c r="M173" s="7" t="str">
        <f t="shared" si="9"/>
        <v/>
      </c>
      <c r="N173" s="7" t="str">
        <f t="shared" si="10"/>
        <v/>
      </c>
      <c r="O173" s="7" t="str">
        <f t="shared" si="11"/>
        <v/>
      </c>
      <c r="P173" s="7" t="str">
        <f t="shared" si="12"/>
        <v/>
      </c>
    </row>
    <row r="174" spans="1:16" x14ac:dyDescent="0.25">
      <c r="A174" s="4" t="s">
        <v>329</v>
      </c>
      <c r="B174" s="2" t="s">
        <v>268</v>
      </c>
      <c r="C174" s="2" t="s">
        <v>269</v>
      </c>
      <c r="D174" s="8" t="s">
        <v>270</v>
      </c>
      <c r="E174" s="8"/>
      <c r="F174" s="8"/>
      <c r="G174" s="8"/>
      <c r="H174" s="2" t="s">
        <v>271</v>
      </c>
      <c r="I174" s="6" t="str">
        <f>TRIM(SUBSTITUTE(INDEX([1]ТУ!$A:$G,MATCH($A174,[1]ТУ!$A:$A,0),3+I$7),"*",""))</f>
        <v>0.4 Гц</v>
      </c>
      <c r="J174" s="6" t="str">
        <f>TRIM(SUBSTITUTE(INDEX([1]ТУ!$A:$G,MATCH($A174,[1]ТУ!$A:$A,0),3+J$7),"*",""))</f>
        <v/>
      </c>
      <c r="K174" s="6" t="str">
        <f>TRIM(SUBSTITUTE(INDEX([1]ТУ!$A:$G,MATCH($A174,[1]ТУ!$A:$A,0),3+K$7),"*",""))</f>
        <v/>
      </c>
      <c r="L174" s="6" t="str">
        <f>TRIM(SUBSTITUTE(INDEX([1]ТУ!$A:$G,MATCH($A174,[1]ТУ!$A:$A,0),3+L$7),"*",""))</f>
        <v/>
      </c>
      <c r="M174" s="7">
        <f t="shared" si="9"/>
        <v>1</v>
      </c>
      <c r="N174" s="7" t="str">
        <f t="shared" si="10"/>
        <v/>
      </c>
      <c r="O174" s="7" t="str">
        <f t="shared" si="11"/>
        <v/>
      </c>
      <c r="P174" s="7" t="str">
        <f t="shared" si="12"/>
        <v/>
      </c>
    </row>
    <row r="175" spans="1:16" x14ac:dyDescent="0.25">
      <c r="A175" s="12" t="s">
        <v>272</v>
      </c>
      <c r="B175" s="12"/>
      <c r="C175" s="12"/>
      <c r="D175" s="12"/>
      <c r="E175" s="12"/>
      <c r="F175" s="12"/>
      <c r="G175" s="12"/>
      <c r="H175" s="12"/>
      <c r="I175" s="6" t="str">
        <f>TRIM(SUBSTITUTE(INDEX([1]ТУ!$A:$G,MATCH($A175,[1]ТУ!$A:$A,0),3+I$7),"*",""))</f>
        <v/>
      </c>
      <c r="J175" s="6" t="str">
        <f>TRIM(SUBSTITUTE(INDEX([1]ТУ!$A:$G,MATCH($A175,[1]ТУ!$A:$A,0),3+J$7),"*",""))</f>
        <v/>
      </c>
      <c r="K175" s="6" t="str">
        <f>TRIM(SUBSTITUTE(INDEX([1]ТУ!$A:$G,MATCH($A175,[1]ТУ!$A:$A,0),3+K$7),"*",""))</f>
        <v/>
      </c>
      <c r="L175" s="6" t="str">
        <f>TRIM(SUBSTITUTE(INDEX([1]ТУ!$A:$G,MATCH($A175,[1]ТУ!$A:$A,0),3+L$7),"*",""))</f>
        <v/>
      </c>
      <c r="M175" s="7" t="str">
        <f t="shared" si="9"/>
        <v/>
      </c>
      <c r="N175" s="7" t="str">
        <f t="shared" si="10"/>
        <v/>
      </c>
      <c r="O175" s="7" t="str">
        <f t="shared" si="11"/>
        <v/>
      </c>
      <c r="P175" s="7" t="str">
        <f t="shared" si="12"/>
        <v/>
      </c>
    </row>
    <row r="176" spans="1:16" x14ac:dyDescent="0.25">
      <c r="A176" s="11" t="s">
        <v>78</v>
      </c>
      <c r="B176" s="11" t="s">
        <v>79</v>
      </c>
      <c r="C176" s="11" t="s">
        <v>80</v>
      </c>
      <c r="D176" s="11" t="s">
        <v>81</v>
      </c>
      <c r="E176" s="11"/>
      <c r="F176" s="11"/>
      <c r="G176" s="11"/>
      <c r="H176" s="11" t="s">
        <v>82</v>
      </c>
      <c r="I176" s="6" t="str">
        <f>TRIM(SUBSTITUTE(INDEX([1]ТУ!$A:$G,MATCH($A176,[1]ТУ!$A:$A,0),3+I$7),"*",""))</f>
        <v>Задаваемый параметр</v>
      </c>
      <c r="J176" s="6" t="str">
        <f>TRIM(SUBSTITUTE(INDEX([1]ТУ!$A:$G,MATCH($A176,[1]ТУ!$A:$A,0),3+J$7),"*",""))</f>
        <v/>
      </c>
      <c r="K176" s="6" t="str">
        <f>TRIM(SUBSTITUTE(INDEX([1]ТУ!$A:$G,MATCH($A176,[1]ТУ!$A:$A,0),3+K$7),"*",""))</f>
        <v/>
      </c>
      <c r="L176" s="6" t="str">
        <f>TRIM(SUBSTITUTE(INDEX([1]ТУ!$A:$G,MATCH($A176,[1]ТУ!$A:$A,0),3+L$7),"*",""))</f>
        <v/>
      </c>
      <c r="M176" s="7" t="str">
        <f t="shared" si="9"/>
        <v/>
      </c>
      <c r="N176" s="7" t="str">
        <f t="shared" si="10"/>
        <v/>
      </c>
      <c r="O176" s="7" t="str">
        <f t="shared" si="11"/>
        <v/>
      </c>
      <c r="P176" s="7" t="str">
        <f t="shared" si="12"/>
        <v/>
      </c>
    </row>
    <row r="177" spans="1:16" x14ac:dyDescent="0.25">
      <c r="A177" s="11"/>
      <c r="B177" s="11"/>
      <c r="C177" s="11"/>
      <c r="D177" s="11"/>
      <c r="E177" s="11"/>
      <c r="F177" s="11"/>
      <c r="G177" s="11"/>
      <c r="H177" s="11"/>
      <c r="I177" s="6" t="e">
        <f>TRIM(SUBSTITUTE(INDEX([1]ТУ!$A:$G,MATCH($A177,[1]ТУ!$A:$A,0),3+I$7),"*",""))</f>
        <v>#N/A</v>
      </c>
      <c r="J177" s="6" t="e">
        <f>TRIM(SUBSTITUTE(INDEX([1]ТУ!$A:$G,MATCH($A177,[1]ТУ!$A:$A,0),3+J$7),"*",""))</f>
        <v>#N/A</v>
      </c>
      <c r="K177" s="6" t="e">
        <f>TRIM(SUBSTITUTE(INDEX([1]ТУ!$A:$G,MATCH($A177,[1]ТУ!$A:$A,0),3+K$7),"*",""))</f>
        <v>#N/A</v>
      </c>
      <c r="L177" s="6" t="e">
        <f>TRIM(SUBSTITUTE(INDEX([1]ТУ!$A:$G,MATCH($A177,[1]ТУ!$A:$A,0),3+L$7),"*",""))</f>
        <v>#N/A</v>
      </c>
      <c r="M177" s="7" t="str">
        <f t="shared" si="9"/>
        <v/>
      </c>
      <c r="N177" s="7" t="str">
        <f t="shared" si="10"/>
        <v/>
      </c>
      <c r="O177" s="7" t="str">
        <f t="shared" si="11"/>
        <v/>
      </c>
      <c r="P177" s="7" t="str">
        <f t="shared" si="12"/>
        <v/>
      </c>
    </row>
    <row r="178" spans="1:16" x14ac:dyDescent="0.25">
      <c r="A178" s="4" t="s">
        <v>330</v>
      </c>
      <c r="B178" s="2" t="s">
        <v>274</v>
      </c>
      <c r="C178" s="2" t="s">
        <v>275</v>
      </c>
      <c r="D178" s="8" t="s">
        <v>276</v>
      </c>
      <c r="E178" s="8"/>
      <c r="F178" s="8"/>
      <c r="G178" s="8"/>
      <c r="H178" s="2" t="s">
        <v>277</v>
      </c>
      <c r="I178" s="6" t="str">
        <f>TRIM(SUBSTITUTE(INDEX([1]ТУ!$A:$G,MATCH($A178,[1]ТУ!$A:$A,0),3+I$7),"*",""))</f>
        <v>40 мГц</v>
      </c>
      <c r="J178" s="6" t="str">
        <f>TRIM(SUBSTITUTE(INDEX([1]ТУ!$A:$G,MATCH($A178,[1]ТУ!$A:$A,0),3+J$7),"*",""))</f>
        <v/>
      </c>
      <c r="K178" s="6" t="str">
        <f>TRIM(SUBSTITUTE(INDEX([1]ТУ!$A:$G,MATCH($A178,[1]ТУ!$A:$A,0),3+K$7),"*",""))</f>
        <v/>
      </c>
      <c r="L178" s="6" t="str">
        <f>TRIM(SUBSTITUTE(INDEX([1]ТУ!$A:$G,MATCH($A178,[1]ТУ!$A:$A,0),3+L$7),"*",""))</f>
        <v/>
      </c>
      <c r="M178" s="7" t="str">
        <f t="shared" si="9"/>
        <v/>
      </c>
      <c r="N178" s="7" t="str">
        <f t="shared" si="10"/>
        <v/>
      </c>
      <c r="O178" s="7" t="str">
        <f t="shared" si="11"/>
        <v/>
      </c>
      <c r="P178" s="7" t="str">
        <f t="shared" si="12"/>
        <v/>
      </c>
    </row>
    <row r="179" spans="1:16" ht="30" x14ac:dyDescent="0.25">
      <c r="A179" s="4" t="s">
        <v>331</v>
      </c>
      <c r="B179" s="2" t="s">
        <v>279</v>
      </c>
      <c r="C179" s="2" t="s">
        <v>264</v>
      </c>
      <c r="D179" s="8" t="s">
        <v>265</v>
      </c>
      <c r="E179" s="8"/>
      <c r="F179" s="8"/>
      <c r="G179" s="8"/>
      <c r="H179" s="2" t="s">
        <v>280</v>
      </c>
      <c r="I179" s="6" t="str">
        <f>TRIM(SUBSTITUTE(INDEX([1]ТУ!$A:$G,MATCH($A179,[1]ТУ!$A:$A,0),3+I$7),"*",""))</f>
        <v>22.7 В</v>
      </c>
      <c r="J179" s="6" t="str">
        <f>TRIM(SUBSTITUTE(INDEX([1]ТУ!$A:$G,MATCH($A179,[1]ТУ!$A:$A,0),3+J$7),"*",""))</f>
        <v/>
      </c>
      <c r="K179" s="6" t="str">
        <f>TRIM(SUBSTITUTE(INDEX([1]ТУ!$A:$G,MATCH($A179,[1]ТУ!$A:$A,0),3+K$7),"*",""))</f>
        <v/>
      </c>
      <c r="L179" s="6" t="str">
        <f>TRIM(SUBSTITUTE(INDEX([1]ТУ!$A:$G,MATCH($A179,[1]ТУ!$A:$A,0),3+L$7),"*",""))</f>
        <v/>
      </c>
      <c r="M179" s="7" t="str">
        <f t="shared" si="9"/>
        <v/>
      </c>
      <c r="N179" s="7" t="str">
        <f t="shared" si="10"/>
        <v/>
      </c>
      <c r="O179" s="7" t="str">
        <f t="shared" si="11"/>
        <v/>
      </c>
      <c r="P179" s="7" t="str">
        <f t="shared" si="12"/>
        <v/>
      </c>
    </row>
    <row r="180" spans="1:16" x14ac:dyDescent="0.25">
      <c r="A180" s="4" t="s">
        <v>332</v>
      </c>
      <c r="B180" s="2" t="s">
        <v>285</v>
      </c>
      <c r="C180" s="2" t="s">
        <v>282</v>
      </c>
      <c r="D180" s="8" t="s">
        <v>283</v>
      </c>
      <c r="E180" s="8"/>
      <c r="F180" s="8"/>
      <c r="G180" s="8"/>
      <c r="H180" s="2" t="s">
        <v>284</v>
      </c>
      <c r="I180" s="6" t="str">
        <f>TRIM(SUBSTITUTE(INDEX([1]ТУ!$A:$G,MATCH($A180,[1]ТУ!$A:$A,0),3+I$7),"*",""))</f>
        <v>40 °</v>
      </c>
      <c r="J180" s="6" t="str">
        <f>TRIM(SUBSTITUTE(INDEX([1]ТУ!$A:$G,MATCH($A180,[1]ТУ!$A:$A,0),3+J$7),"*",""))</f>
        <v/>
      </c>
      <c r="K180" s="6" t="str">
        <f>TRIM(SUBSTITUTE(INDEX([1]ТУ!$A:$G,MATCH($A180,[1]ТУ!$A:$A,0),3+K$7),"*",""))</f>
        <v/>
      </c>
      <c r="L180" s="6" t="str">
        <f>TRIM(SUBSTITUTE(INDEX([1]ТУ!$A:$G,MATCH($A180,[1]ТУ!$A:$A,0),3+L$7),"*",""))</f>
        <v/>
      </c>
      <c r="M180" s="7" t="str">
        <f t="shared" si="9"/>
        <v/>
      </c>
      <c r="N180" s="7" t="str">
        <f t="shared" si="10"/>
        <v/>
      </c>
      <c r="O180" s="7" t="str">
        <f t="shared" si="11"/>
        <v/>
      </c>
      <c r="P180" s="7" t="str">
        <f t="shared" si="12"/>
        <v/>
      </c>
    </row>
    <row r="181" spans="1:16" x14ac:dyDescent="0.25">
      <c r="A181" s="4" t="s">
        <v>333</v>
      </c>
      <c r="B181" s="2" t="s">
        <v>287</v>
      </c>
      <c r="C181" s="2" t="s">
        <v>288</v>
      </c>
      <c r="D181" s="8" t="s">
        <v>289</v>
      </c>
      <c r="E181" s="8"/>
      <c r="F181" s="8"/>
      <c r="G181" s="8"/>
      <c r="H181" s="2" t="s">
        <v>290</v>
      </c>
      <c r="I181" s="6" t="str">
        <f>TRIM(SUBSTITUTE(INDEX([1]ТУ!$A:$G,MATCH($A181,[1]ТУ!$A:$A,0),3+I$7),"*",""))</f>
        <v>0.3 сек</v>
      </c>
      <c r="J181" s="6" t="str">
        <f>TRIM(SUBSTITUTE(INDEX([1]ТУ!$A:$G,MATCH($A181,[1]ТУ!$A:$A,0),3+J$7),"*",""))</f>
        <v/>
      </c>
      <c r="K181" s="6" t="str">
        <f>TRIM(SUBSTITUTE(INDEX([1]ТУ!$A:$G,MATCH($A181,[1]ТУ!$A:$A,0),3+K$7),"*",""))</f>
        <v/>
      </c>
      <c r="L181" s="6" t="str">
        <f>TRIM(SUBSTITUTE(INDEX([1]ТУ!$A:$G,MATCH($A181,[1]ТУ!$A:$A,0),3+L$7),"*",""))</f>
        <v/>
      </c>
      <c r="M181" s="7">
        <f t="shared" si="9"/>
        <v>1</v>
      </c>
      <c r="N181" s="7" t="str">
        <f t="shared" si="10"/>
        <v/>
      </c>
      <c r="O181" s="7" t="str">
        <f t="shared" si="11"/>
        <v/>
      </c>
      <c r="P181" s="7" t="str">
        <f t="shared" si="12"/>
        <v/>
      </c>
    </row>
    <row r="182" spans="1:16" ht="17.25" x14ac:dyDescent="0.25">
      <c r="A182" s="10" t="s">
        <v>66</v>
      </c>
      <c r="B182" s="10"/>
      <c r="C182" s="10"/>
      <c r="D182" s="10"/>
      <c r="E182" s="10"/>
      <c r="F182" s="10"/>
      <c r="G182" s="10"/>
      <c r="H182" s="10"/>
      <c r="I182" s="6" t="str">
        <f>TRIM(SUBSTITUTE(INDEX([1]ТУ!$A:$G,MATCH($A182,[1]ТУ!$A:$A,0),3+I$7),"*",""))</f>
        <v/>
      </c>
      <c r="J182" s="6" t="str">
        <f>TRIM(SUBSTITUTE(INDEX([1]ТУ!$A:$G,MATCH($A182,[1]ТУ!$A:$A,0),3+J$7),"*",""))</f>
        <v/>
      </c>
      <c r="K182" s="6" t="str">
        <f>TRIM(SUBSTITUTE(INDEX([1]ТУ!$A:$G,MATCH($A182,[1]ТУ!$A:$A,0),3+K$7),"*",""))</f>
        <v/>
      </c>
      <c r="L182" s="6" t="str">
        <f>TRIM(SUBSTITUTE(INDEX([1]ТУ!$A:$G,MATCH($A182,[1]ТУ!$A:$A,0),3+L$7),"*",""))</f>
        <v/>
      </c>
      <c r="M182" s="7" t="str">
        <f t="shared" si="9"/>
        <v/>
      </c>
      <c r="N182" s="7" t="str">
        <f t="shared" si="10"/>
        <v/>
      </c>
      <c r="O182" s="7" t="str">
        <f t="shared" si="11"/>
        <v/>
      </c>
      <c r="P182" s="7" t="str">
        <f t="shared" si="12"/>
        <v/>
      </c>
    </row>
    <row r="183" spans="1:16" x14ac:dyDescent="0.25">
      <c r="A183" s="12" t="s">
        <v>84</v>
      </c>
      <c r="B183" s="12"/>
      <c r="C183" s="12"/>
      <c r="D183" s="12"/>
      <c r="E183" s="12"/>
      <c r="F183" s="12"/>
      <c r="G183" s="12"/>
      <c r="H183" s="12"/>
      <c r="I183" s="6" t="str">
        <f>TRIM(SUBSTITUTE(INDEX([1]ТУ!$A:$G,MATCH($A183,[1]ТУ!$A:$A,0),3+I$7),"*",""))</f>
        <v/>
      </c>
      <c r="J183" s="6" t="str">
        <f>TRIM(SUBSTITUTE(INDEX([1]ТУ!$A:$G,MATCH($A183,[1]ТУ!$A:$A,0),3+J$7),"*",""))</f>
        <v/>
      </c>
      <c r="K183" s="6" t="str">
        <f>TRIM(SUBSTITUTE(INDEX([1]ТУ!$A:$G,MATCH($A183,[1]ТУ!$A:$A,0),3+K$7),"*",""))</f>
        <v/>
      </c>
      <c r="L183" s="6" t="str">
        <f>TRIM(SUBSTITUTE(INDEX([1]ТУ!$A:$G,MATCH($A183,[1]ТУ!$A:$A,0),3+L$7),"*",""))</f>
        <v/>
      </c>
      <c r="M183" s="7" t="str">
        <f t="shared" si="9"/>
        <v/>
      </c>
      <c r="N183" s="7" t="str">
        <f t="shared" si="10"/>
        <v/>
      </c>
      <c r="O183" s="7" t="str">
        <f t="shared" si="11"/>
        <v/>
      </c>
      <c r="P183" s="7" t="str">
        <f t="shared" si="12"/>
        <v/>
      </c>
    </row>
    <row r="184" spans="1:16" x14ac:dyDescent="0.25">
      <c r="A184" s="11" t="s">
        <v>78</v>
      </c>
      <c r="B184" s="11" t="s">
        <v>79</v>
      </c>
      <c r="C184" s="11" t="s">
        <v>80</v>
      </c>
      <c r="D184" s="11" t="s">
        <v>81</v>
      </c>
      <c r="E184" s="11"/>
      <c r="F184" s="11"/>
      <c r="G184" s="11"/>
      <c r="H184" s="11" t="s">
        <v>82</v>
      </c>
      <c r="I184" s="6" t="str">
        <f>TRIM(SUBSTITUTE(INDEX([1]ТУ!$A:$G,MATCH($A184,[1]ТУ!$A:$A,0),3+I$7),"*",""))</f>
        <v>Задаваемый параметр</v>
      </c>
      <c r="J184" s="6" t="str">
        <f>TRIM(SUBSTITUTE(INDEX([1]ТУ!$A:$G,MATCH($A184,[1]ТУ!$A:$A,0),3+J$7),"*",""))</f>
        <v/>
      </c>
      <c r="K184" s="6" t="str">
        <f>TRIM(SUBSTITUTE(INDEX([1]ТУ!$A:$G,MATCH($A184,[1]ТУ!$A:$A,0),3+K$7),"*",""))</f>
        <v/>
      </c>
      <c r="L184" s="6" t="str">
        <f>TRIM(SUBSTITUTE(INDEX([1]ТУ!$A:$G,MATCH($A184,[1]ТУ!$A:$A,0),3+L$7),"*",""))</f>
        <v/>
      </c>
      <c r="M184" s="7" t="str">
        <f t="shared" si="9"/>
        <v/>
      </c>
      <c r="N184" s="7" t="str">
        <f t="shared" si="10"/>
        <v/>
      </c>
      <c r="O184" s="7" t="str">
        <f t="shared" si="11"/>
        <v/>
      </c>
      <c r="P184" s="7" t="str">
        <f t="shared" si="12"/>
        <v/>
      </c>
    </row>
    <row r="185" spans="1:16" x14ac:dyDescent="0.25">
      <c r="A185" s="11"/>
      <c r="B185" s="11"/>
      <c r="C185" s="11"/>
      <c r="D185" s="11"/>
      <c r="E185" s="11"/>
      <c r="F185" s="11"/>
      <c r="G185" s="11"/>
      <c r="H185" s="11"/>
      <c r="I185" s="6" t="e">
        <f>TRIM(SUBSTITUTE(INDEX([1]ТУ!$A:$G,MATCH($A185,[1]ТУ!$A:$A,0),3+I$7),"*",""))</f>
        <v>#N/A</v>
      </c>
      <c r="J185" s="6" t="e">
        <f>TRIM(SUBSTITUTE(INDEX([1]ТУ!$A:$G,MATCH($A185,[1]ТУ!$A:$A,0),3+J$7),"*",""))</f>
        <v>#N/A</v>
      </c>
      <c r="K185" s="6" t="e">
        <f>TRIM(SUBSTITUTE(INDEX([1]ТУ!$A:$G,MATCH($A185,[1]ТУ!$A:$A,0),3+K$7),"*",""))</f>
        <v>#N/A</v>
      </c>
      <c r="L185" s="6" t="e">
        <f>TRIM(SUBSTITUTE(INDEX([1]ТУ!$A:$G,MATCH($A185,[1]ТУ!$A:$A,0),3+L$7),"*",""))</f>
        <v>#N/A</v>
      </c>
      <c r="M185" s="7" t="str">
        <f t="shared" si="9"/>
        <v/>
      </c>
      <c r="N185" s="7" t="str">
        <f t="shared" si="10"/>
        <v/>
      </c>
      <c r="O185" s="7" t="str">
        <f t="shared" si="11"/>
        <v/>
      </c>
      <c r="P185" s="7" t="str">
        <f t="shared" si="12"/>
        <v/>
      </c>
    </row>
    <row r="186" spans="1:16" ht="30" x14ac:dyDescent="0.25">
      <c r="A186" s="1" t="s">
        <v>334</v>
      </c>
      <c r="B186" s="2" t="s">
        <v>66</v>
      </c>
      <c r="C186" s="2" t="s">
        <v>335</v>
      </c>
      <c r="D186" s="8" t="s">
        <v>336</v>
      </c>
      <c r="E186" s="8"/>
      <c r="F186" s="8"/>
      <c r="G186" s="8"/>
      <c r="H186" s="2" t="s">
        <v>69</v>
      </c>
      <c r="I186" s="6" t="str">
        <f>TRIM(SUBSTITUTE(INDEX([1]ТУ!$A:$G,MATCH($A186,[1]ТУ!$A:$A,0),3+I$7),"*",""))</f>
        <v>ВКЛ</v>
      </c>
      <c r="J186" s="6" t="str">
        <f>TRIM(SUBSTITUTE(INDEX([1]ТУ!$A:$G,MATCH($A186,[1]ТУ!$A:$A,0),3+J$7),"*",""))</f>
        <v/>
      </c>
      <c r="K186" s="6" t="str">
        <f>TRIM(SUBSTITUTE(INDEX([1]ТУ!$A:$G,MATCH($A186,[1]ТУ!$A:$A,0),3+K$7),"*",""))</f>
        <v/>
      </c>
      <c r="L186" s="6" t="str">
        <f>TRIM(SUBSTITUTE(INDEX([1]ТУ!$A:$G,MATCH($A186,[1]ТУ!$A:$A,0),3+L$7),"*",""))</f>
        <v/>
      </c>
      <c r="M186" s="7" t="str">
        <f t="shared" si="9"/>
        <v/>
      </c>
      <c r="N186" s="7" t="str">
        <f t="shared" si="10"/>
        <v/>
      </c>
      <c r="O186" s="7" t="str">
        <f t="shared" si="11"/>
        <v/>
      </c>
      <c r="P186" s="7" t="str">
        <f t="shared" si="12"/>
        <v/>
      </c>
    </row>
    <row r="187" spans="1:16" ht="30" x14ac:dyDescent="0.25">
      <c r="A187" s="1" t="s">
        <v>337</v>
      </c>
      <c r="B187" s="2" t="s">
        <v>339</v>
      </c>
      <c r="C187" s="2" t="s">
        <v>239</v>
      </c>
      <c r="D187" s="8" t="s">
        <v>322</v>
      </c>
      <c r="E187" s="8"/>
      <c r="F187" s="8"/>
      <c r="G187" s="8"/>
      <c r="H187" s="2" t="s">
        <v>338</v>
      </c>
      <c r="I187" s="6" t="str">
        <f>TRIM(SUBSTITUTE(INDEX([1]ТУ!$A:$G,MATCH($A187,[1]ТУ!$A:$A,0),3+I$7),"*",""))</f>
        <v>ДА</v>
      </c>
      <c r="J187" s="6" t="str">
        <f>TRIM(SUBSTITUTE(INDEX([1]ТУ!$A:$G,MATCH($A187,[1]ТУ!$A:$A,0),3+J$7),"*",""))</f>
        <v/>
      </c>
      <c r="K187" s="6" t="str">
        <f>TRIM(SUBSTITUTE(INDEX([1]ТУ!$A:$G,MATCH($A187,[1]ТУ!$A:$A,0),3+K$7),"*",""))</f>
        <v/>
      </c>
      <c r="L187" s="6" t="str">
        <f>TRIM(SUBSTITUTE(INDEX([1]ТУ!$A:$G,MATCH($A187,[1]ТУ!$A:$A,0),3+L$7),"*",""))</f>
        <v/>
      </c>
      <c r="M187" s="7" t="str">
        <f t="shared" si="9"/>
        <v/>
      </c>
      <c r="N187" s="7" t="str">
        <f t="shared" si="10"/>
        <v/>
      </c>
      <c r="O187" s="7" t="str">
        <f t="shared" si="11"/>
        <v/>
      </c>
      <c r="P187" s="7" t="str">
        <f t="shared" si="12"/>
        <v/>
      </c>
    </row>
    <row r="188" spans="1:16" x14ac:dyDescent="0.25">
      <c r="A188" s="1" t="s">
        <v>340</v>
      </c>
      <c r="B188" s="2" t="s">
        <v>341</v>
      </c>
      <c r="C188" s="2" t="s">
        <v>342</v>
      </c>
      <c r="D188" s="8" t="s">
        <v>343</v>
      </c>
      <c r="E188" s="8"/>
      <c r="F188" s="8"/>
      <c r="G188" s="8"/>
      <c r="H188" s="2" t="s">
        <v>344</v>
      </c>
      <c r="I188" s="6" t="str">
        <f>TRIM(SUBSTITUTE(INDEX([1]ТУ!$A:$G,MATCH($A188,[1]ТУ!$A:$A,0),3+I$7),"*",""))</f>
        <v>20 сек</v>
      </c>
      <c r="J188" s="6" t="str">
        <f>TRIM(SUBSTITUTE(INDEX([1]ТУ!$A:$G,MATCH($A188,[1]ТУ!$A:$A,0),3+J$7),"*",""))</f>
        <v/>
      </c>
      <c r="K188" s="6" t="str">
        <f>TRIM(SUBSTITUTE(INDEX([1]ТУ!$A:$G,MATCH($A188,[1]ТУ!$A:$A,0),3+K$7),"*",""))</f>
        <v/>
      </c>
      <c r="L188" s="6" t="str">
        <f>TRIM(SUBSTITUTE(INDEX([1]ТУ!$A:$G,MATCH($A188,[1]ТУ!$A:$A,0),3+L$7),"*",""))</f>
        <v/>
      </c>
      <c r="M188" s="7">
        <f t="shared" si="9"/>
        <v>1</v>
      </c>
      <c r="N188" s="7" t="str">
        <f t="shared" si="10"/>
        <v/>
      </c>
      <c r="O188" s="7" t="str">
        <f t="shared" si="11"/>
        <v/>
      </c>
      <c r="P188" s="7" t="str">
        <f t="shared" si="12"/>
        <v/>
      </c>
    </row>
    <row r="189" spans="1:16" x14ac:dyDescent="0.25">
      <c r="A189" s="1" t="s">
        <v>345</v>
      </c>
      <c r="B189" s="2" t="s">
        <v>346</v>
      </c>
      <c r="C189" s="2" t="s">
        <v>347</v>
      </c>
      <c r="D189" s="8" t="s">
        <v>343</v>
      </c>
      <c r="E189" s="8"/>
      <c r="F189" s="8"/>
      <c r="G189" s="8"/>
      <c r="H189" s="2" t="s">
        <v>348</v>
      </c>
      <c r="I189" s="6" t="str">
        <f>TRIM(SUBSTITUTE(INDEX([1]ТУ!$A:$G,MATCH($A189,[1]ТУ!$A:$A,0),3+I$7),"*",""))</f>
        <v>20 сек</v>
      </c>
      <c r="J189" s="6" t="str">
        <f>TRIM(SUBSTITUTE(INDEX([1]ТУ!$A:$G,MATCH($A189,[1]ТУ!$A:$A,0),3+J$7),"*",""))</f>
        <v/>
      </c>
      <c r="K189" s="6" t="str">
        <f>TRIM(SUBSTITUTE(INDEX([1]ТУ!$A:$G,MATCH($A189,[1]ТУ!$A:$A,0),3+K$7),"*",""))</f>
        <v/>
      </c>
      <c r="L189" s="6" t="str">
        <f>TRIM(SUBSTITUTE(INDEX([1]ТУ!$A:$G,MATCH($A189,[1]ТУ!$A:$A,0),3+L$7),"*",""))</f>
        <v/>
      </c>
      <c r="M189" s="7">
        <f t="shared" si="9"/>
        <v>1</v>
      </c>
      <c r="N189" s="7" t="str">
        <f t="shared" si="10"/>
        <v/>
      </c>
      <c r="O189" s="7" t="str">
        <f t="shared" si="11"/>
        <v/>
      </c>
      <c r="P189" s="7" t="str">
        <f t="shared" si="12"/>
        <v/>
      </c>
    </row>
    <row r="190" spans="1:16" ht="30" x14ac:dyDescent="0.25">
      <c r="A190" s="1" t="s">
        <v>349</v>
      </c>
      <c r="B190" s="2" t="s">
        <v>350</v>
      </c>
      <c r="C190" s="2" t="s">
        <v>351</v>
      </c>
      <c r="D190" s="8" t="s">
        <v>352</v>
      </c>
      <c r="E190" s="8"/>
      <c r="F190" s="8"/>
      <c r="G190" s="8"/>
      <c r="H190" s="2" t="s">
        <v>353</v>
      </c>
      <c r="I190" s="6" t="str">
        <f>TRIM(SUBSTITUTE(INDEX([1]ТУ!$A:$G,MATCH($A190,[1]ТУ!$A:$A,0),3+I$7),"*",""))</f>
        <v>с Отключением</v>
      </c>
      <c r="J190" s="6" t="str">
        <f>TRIM(SUBSTITUTE(INDEX([1]ТУ!$A:$G,MATCH($A190,[1]ТУ!$A:$A,0),3+J$7),"*",""))</f>
        <v/>
      </c>
      <c r="K190" s="6" t="str">
        <f>TRIM(SUBSTITUTE(INDEX([1]ТУ!$A:$G,MATCH($A190,[1]ТУ!$A:$A,0),3+K$7),"*",""))</f>
        <v/>
      </c>
      <c r="L190" s="6" t="str">
        <f>TRIM(SUBSTITUTE(INDEX([1]ТУ!$A:$G,MATCH($A190,[1]ТУ!$A:$A,0),3+L$7),"*",""))</f>
        <v/>
      </c>
      <c r="M190" s="7" t="str">
        <f t="shared" si="9"/>
        <v/>
      </c>
      <c r="N190" s="7" t="str">
        <f t="shared" si="10"/>
        <v/>
      </c>
      <c r="O190" s="7" t="str">
        <f t="shared" si="11"/>
        <v/>
      </c>
      <c r="P190" s="7" t="str">
        <f t="shared" si="12"/>
        <v/>
      </c>
    </row>
    <row r="191" spans="1:16" ht="30" x14ac:dyDescent="0.25">
      <c r="A191" s="1" t="s">
        <v>354</v>
      </c>
      <c r="B191" s="2" t="s">
        <v>355</v>
      </c>
      <c r="C191" s="2" t="s">
        <v>356</v>
      </c>
      <c r="D191" s="8" t="s">
        <v>357</v>
      </c>
      <c r="E191" s="8"/>
      <c r="F191" s="8"/>
      <c r="G191" s="8"/>
      <c r="H191" s="2" t="s">
        <v>358</v>
      </c>
      <c r="I191" s="6" t="str">
        <f>TRIM(SUBSTITUTE(INDEX([1]ТУ!$A:$G,MATCH($A191,[1]ТУ!$A:$A,0),3+I$7),"*",""))</f>
        <v>блокирует АПВ</v>
      </c>
      <c r="J191" s="6" t="str">
        <f>TRIM(SUBSTITUTE(INDEX([1]ТУ!$A:$G,MATCH($A191,[1]ТУ!$A:$A,0),3+J$7),"*",""))</f>
        <v/>
      </c>
      <c r="K191" s="6" t="str">
        <f>TRIM(SUBSTITUTE(INDEX([1]ТУ!$A:$G,MATCH($A191,[1]ТУ!$A:$A,0),3+K$7),"*",""))</f>
        <v/>
      </c>
      <c r="L191" s="6" t="str">
        <f>TRIM(SUBSTITUTE(INDEX([1]ТУ!$A:$G,MATCH($A191,[1]ТУ!$A:$A,0),3+L$7),"*",""))</f>
        <v/>
      </c>
      <c r="M191" s="7" t="str">
        <f t="shared" si="9"/>
        <v/>
      </c>
      <c r="N191" s="7" t="str">
        <f t="shared" si="10"/>
        <v/>
      </c>
      <c r="O191" s="7" t="str">
        <f t="shared" si="11"/>
        <v/>
      </c>
      <c r="P191" s="7" t="str">
        <f t="shared" si="12"/>
        <v/>
      </c>
    </row>
    <row r="192" spans="1:16" x14ac:dyDescent="0.25">
      <c r="A192" s="1" t="s">
        <v>359</v>
      </c>
      <c r="B192" s="2" t="s">
        <v>360</v>
      </c>
      <c r="C192" s="2" t="s">
        <v>361</v>
      </c>
      <c r="D192" s="8" t="s">
        <v>140</v>
      </c>
      <c r="E192" s="8"/>
      <c r="F192" s="8"/>
      <c r="G192" s="8"/>
      <c r="H192" s="2" t="s">
        <v>362</v>
      </c>
      <c r="I192" s="6" t="str">
        <f>TRIM(SUBSTITUTE(INDEX([1]ТУ!$A:$G,MATCH($A192,[1]ТУ!$A:$A,0),3+I$7),"*",""))</f>
        <v>0.15 сек</v>
      </c>
      <c r="J192" s="6" t="str">
        <f>TRIM(SUBSTITUTE(INDEX([1]ТУ!$A:$G,MATCH($A192,[1]ТУ!$A:$A,0),3+J$7),"*",""))</f>
        <v/>
      </c>
      <c r="K192" s="6" t="str">
        <f>TRIM(SUBSTITUTE(INDEX([1]ТУ!$A:$G,MATCH($A192,[1]ТУ!$A:$A,0),3+K$7),"*",""))</f>
        <v/>
      </c>
      <c r="L192" s="6" t="str">
        <f>TRIM(SUBSTITUTE(INDEX([1]ТУ!$A:$G,MATCH($A192,[1]ТУ!$A:$A,0),3+L$7),"*",""))</f>
        <v/>
      </c>
      <c r="M192" s="7" t="str">
        <f t="shared" si="9"/>
        <v/>
      </c>
      <c r="N192" s="7" t="str">
        <f t="shared" si="10"/>
        <v/>
      </c>
      <c r="O192" s="7" t="str">
        <f t="shared" si="11"/>
        <v/>
      </c>
      <c r="P192" s="7" t="str">
        <f t="shared" si="12"/>
        <v/>
      </c>
    </row>
    <row r="193" spans="1:16" x14ac:dyDescent="0.25">
      <c r="A193" s="1" t="s">
        <v>363</v>
      </c>
      <c r="B193" s="2" t="s">
        <v>364</v>
      </c>
      <c r="C193" s="2" t="s">
        <v>361</v>
      </c>
      <c r="D193" s="8" t="s">
        <v>365</v>
      </c>
      <c r="E193" s="8"/>
      <c r="F193" s="8"/>
      <c r="G193" s="8"/>
      <c r="H193" s="2" t="s">
        <v>366</v>
      </c>
      <c r="I193" s="6" t="str">
        <f>TRIM(SUBSTITUTE(INDEX([1]ТУ!$A:$G,MATCH($A193,[1]ТУ!$A:$A,0),3+I$7),"*",""))</f>
        <v>1 сек</v>
      </c>
      <c r="J193" s="6" t="str">
        <f>TRIM(SUBSTITUTE(INDEX([1]ТУ!$A:$G,MATCH($A193,[1]ТУ!$A:$A,0),3+J$7),"*",""))</f>
        <v/>
      </c>
      <c r="K193" s="6" t="str">
        <f>TRIM(SUBSTITUTE(INDEX([1]ТУ!$A:$G,MATCH($A193,[1]ТУ!$A:$A,0),3+K$7),"*",""))</f>
        <v/>
      </c>
      <c r="L193" s="6" t="str">
        <f>TRIM(SUBSTITUTE(INDEX([1]ТУ!$A:$G,MATCH($A193,[1]ТУ!$A:$A,0),3+L$7),"*",""))</f>
        <v/>
      </c>
      <c r="M193" s="7">
        <f t="shared" si="9"/>
        <v>1</v>
      </c>
      <c r="N193" s="7" t="str">
        <f t="shared" si="10"/>
        <v/>
      </c>
      <c r="O193" s="7" t="str">
        <f t="shared" si="11"/>
        <v/>
      </c>
      <c r="P193" s="7" t="str">
        <f t="shared" si="12"/>
        <v/>
      </c>
    </row>
    <row r="194" spans="1:16" ht="30" x14ac:dyDescent="0.25">
      <c r="A194" s="1" t="s">
        <v>367</v>
      </c>
      <c r="B194" s="2" t="s">
        <v>368</v>
      </c>
      <c r="C194" s="2" t="s">
        <v>369</v>
      </c>
      <c r="D194" s="8" t="s">
        <v>370</v>
      </c>
      <c r="E194" s="8"/>
      <c r="F194" s="8"/>
      <c r="G194" s="8"/>
      <c r="H194" s="2" t="s">
        <v>371</v>
      </c>
      <c r="I194" s="6" t="str">
        <f>TRIM(SUBSTITUTE(INDEX([1]ТУ!$A:$G,MATCH($A194,[1]ТУ!$A:$A,0),3+I$7),"*",""))</f>
        <v>oo</v>
      </c>
      <c r="J194" s="6" t="str">
        <f>TRIM(SUBSTITUTE(INDEX([1]ТУ!$A:$G,MATCH($A194,[1]ТУ!$A:$A,0),3+J$7),"*",""))</f>
        <v/>
      </c>
      <c r="K194" s="6" t="str">
        <f>TRIM(SUBSTITUTE(INDEX([1]ТУ!$A:$G,MATCH($A194,[1]ТУ!$A:$A,0),3+K$7),"*",""))</f>
        <v/>
      </c>
      <c r="L194" s="6" t="str">
        <f>TRIM(SUBSTITUTE(INDEX([1]ТУ!$A:$G,MATCH($A194,[1]ТУ!$A:$A,0),3+L$7),"*",""))</f>
        <v/>
      </c>
      <c r="M194" s="7">
        <f t="shared" si="9"/>
        <v>1</v>
      </c>
      <c r="N194" s="7" t="str">
        <f t="shared" si="10"/>
        <v/>
      </c>
      <c r="O194" s="7" t="str">
        <f t="shared" si="11"/>
        <v/>
      </c>
      <c r="P194" s="7" t="str">
        <f t="shared" si="12"/>
        <v/>
      </c>
    </row>
    <row r="195" spans="1:16" x14ac:dyDescent="0.25">
      <c r="A195" s="1" t="s">
        <v>372</v>
      </c>
      <c r="B195" s="2" t="s">
        <v>373</v>
      </c>
      <c r="C195" s="2" t="s">
        <v>374</v>
      </c>
      <c r="D195" s="8" t="s">
        <v>250</v>
      </c>
      <c r="E195" s="8"/>
      <c r="F195" s="8"/>
      <c r="G195" s="8"/>
      <c r="H195" s="2" t="s">
        <v>375</v>
      </c>
      <c r="I195" s="6" t="str">
        <f>TRIM(SUBSTITUTE(INDEX([1]ТУ!$A:$G,MATCH($A195,[1]ТУ!$A:$A,0),3+I$7),"*",""))</f>
        <v>60 сек</v>
      </c>
      <c r="J195" s="6" t="str">
        <f>TRIM(SUBSTITUTE(INDEX([1]ТУ!$A:$G,MATCH($A195,[1]ТУ!$A:$A,0),3+J$7),"*",""))</f>
        <v/>
      </c>
      <c r="K195" s="6" t="str">
        <f>TRIM(SUBSTITUTE(INDEX([1]ТУ!$A:$G,MATCH($A195,[1]ТУ!$A:$A,0),3+K$7),"*",""))</f>
        <v/>
      </c>
      <c r="L195" s="6" t="str">
        <f>TRIM(SUBSTITUTE(INDEX([1]ТУ!$A:$G,MATCH($A195,[1]ТУ!$A:$A,0),3+L$7),"*",""))</f>
        <v/>
      </c>
      <c r="M195" s="7">
        <f t="shared" si="9"/>
        <v>1</v>
      </c>
      <c r="N195" s="7" t="str">
        <f t="shared" si="10"/>
        <v/>
      </c>
      <c r="O195" s="7" t="str">
        <f t="shared" si="11"/>
        <v/>
      </c>
      <c r="P195" s="7" t="str">
        <f t="shared" si="12"/>
        <v/>
      </c>
    </row>
    <row r="196" spans="1:16" x14ac:dyDescent="0.25">
      <c r="A196" s="12" t="s">
        <v>376</v>
      </c>
      <c r="B196" s="12"/>
      <c r="C196" s="12"/>
      <c r="D196" s="12"/>
      <c r="E196" s="12"/>
      <c r="F196" s="12"/>
      <c r="G196" s="12"/>
      <c r="H196" s="12"/>
      <c r="I196" s="6" t="str">
        <f>TRIM(SUBSTITUTE(INDEX([1]ТУ!$A:$G,MATCH($A196,[1]ТУ!$A:$A,0),3+I$7),"*",""))</f>
        <v/>
      </c>
      <c r="J196" s="6" t="str">
        <f>TRIM(SUBSTITUTE(INDEX([1]ТУ!$A:$G,MATCH($A196,[1]ТУ!$A:$A,0),3+J$7),"*",""))</f>
        <v/>
      </c>
      <c r="K196" s="6" t="str">
        <f>TRIM(SUBSTITUTE(INDEX([1]ТУ!$A:$G,MATCH($A196,[1]ТУ!$A:$A,0),3+K$7),"*",""))</f>
        <v/>
      </c>
      <c r="L196" s="6" t="str">
        <f>TRIM(SUBSTITUTE(INDEX([1]ТУ!$A:$G,MATCH($A196,[1]ТУ!$A:$A,0),3+L$7),"*",""))</f>
        <v/>
      </c>
      <c r="M196" s="7" t="str">
        <f t="shared" si="9"/>
        <v/>
      </c>
      <c r="N196" s="7" t="str">
        <f t="shared" si="10"/>
        <v/>
      </c>
      <c r="O196" s="7" t="str">
        <f t="shared" si="11"/>
        <v/>
      </c>
      <c r="P196" s="7" t="str">
        <f t="shared" si="12"/>
        <v/>
      </c>
    </row>
    <row r="197" spans="1:16" x14ac:dyDescent="0.25">
      <c r="A197" s="11" t="s">
        <v>78</v>
      </c>
      <c r="B197" s="11" t="s">
        <v>79</v>
      </c>
      <c r="C197" s="11" t="s">
        <v>80</v>
      </c>
      <c r="D197" s="11" t="s">
        <v>81</v>
      </c>
      <c r="E197" s="11"/>
      <c r="F197" s="11"/>
      <c r="G197" s="11"/>
      <c r="H197" s="11" t="s">
        <v>82</v>
      </c>
      <c r="I197" s="6" t="str">
        <f>TRIM(SUBSTITUTE(INDEX([1]ТУ!$A:$G,MATCH($A197,[1]ТУ!$A:$A,0),3+I$7),"*",""))</f>
        <v>Задаваемый параметр</v>
      </c>
      <c r="J197" s="6" t="str">
        <f>TRIM(SUBSTITUTE(INDEX([1]ТУ!$A:$G,MATCH($A197,[1]ТУ!$A:$A,0),3+J$7),"*",""))</f>
        <v/>
      </c>
      <c r="K197" s="6" t="str">
        <f>TRIM(SUBSTITUTE(INDEX([1]ТУ!$A:$G,MATCH($A197,[1]ТУ!$A:$A,0),3+K$7),"*",""))</f>
        <v/>
      </c>
      <c r="L197" s="6" t="str">
        <f>TRIM(SUBSTITUTE(INDEX([1]ТУ!$A:$G,MATCH($A197,[1]ТУ!$A:$A,0),3+L$7),"*",""))</f>
        <v/>
      </c>
      <c r="M197" s="7" t="str">
        <f t="shared" si="9"/>
        <v/>
      </c>
      <c r="N197" s="7" t="str">
        <f t="shared" si="10"/>
        <v/>
      </c>
      <c r="O197" s="7" t="str">
        <f t="shared" si="11"/>
        <v/>
      </c>
      <c r="P197" s="7" t="str">
        <f t="shared" si="12"/>
        <v/>
      </c>
    </row>
    <row r="198" spans="1:16" x14ac:dyDescent="0.25">
      <c r="A198" s="11"/>
      <c r="B198" s="11"/>
      <c r="C198" s="11"/>
      <c r="D198" s="11"/>
      <c r="E198" s="11"/>
      <c r="F198" s="11"/>
      <c r="G198" s="11"/>
      <c r="H198" s="11"/>
      <c r="I198" s="6" t="e">
        <f>TRIM(SUBSTITUTE(INDEX([1]ТУ!$A:$G,MATCH($A198,[1]ТУ!$A:$A,0),3+I$7),"*",""))</f>
        <v>#N/A</v>
      </c>
      <c r="J198" s="6" t="e">
        <f>TRIM(SUBSTITUTE(INDEX([1]ТУ!$A:$G,MATCH($A198,[1]ТУ!$A:$A,0),3+J$7),"*",""))</f>
        <v>#N/A</v>
      </c>
      <c r="K198" s="6" t="e">
        <f>TRIM(SUBSTITUTE(INDEX([1]ТУ!$A:$G,MATCH($A198,[1]ТУ!$A:$A,0),3+K$7),"*",""))</f>
        <v>#N/A</v>
      </c>
      <c r="L198" s="6" t="e">
        <f>TRIM(SUBSTITUTE(INDEX([1]ТУ!$A:$G,MATCH($A198,[1]ТУ!$A:$A,0),3+L$7),"*",""))</f>
        <v>#N/A</v>
      </c>
      <c r="M198" s="7" t="str">
        <f t="shared" si="9"/>
        <v/>
      </c>
      <c r="N198" s="7" t="str">
        <f t="shared" si="10"/>
        <v/>
      </c>
      <c r="O198" s="7" t="str">
        <f t="shared" si="11"/>
        <v/>
      </c>
      <c r="P198" s="7" t="str">
        <f t="shared" si="12"/>
        <v/>
      </c>
    </row>
    <row r="199" spans="1:16" x14ac:dyDescent="0.25">
      <c r="A199" s="1" t="s">
        <v>377</v>
      </c>
      <c r="B199" s="2" t="s">
        <v>378</v>
      </c>
      <c r="C199" s="2" t="s">
        <v>379</v>
      </c>
      <c r="D199" s="8" t="s">
        <v>380</v>
      </c>
      <c r="E199" s="8"/>
      <c r="F199" s="8"/>
      <c r="G199" s="8"/>
      <c r="H199" s="2" t="s">
        <v>381</v>
      </c>
      <c r="I199" s="6" t="str">
        <f>TRIM(SUBSTITUTE(INDEX([1]ТУ!$A:$G,MATCH($A199,[1]ТУ!$A:$A,0),3+I$7),"*",""))</f>
        <v>2.3 сек</v>
      </c>
      <c r="J199" s="6" t="str">
        <f>TRIM(SUBSTITUTE(INDEX([1]ТУ!$A:$G,MATCH($A199,[1]ТУ!$A:$A,0),3+J$7),"*",""))</f>
        <v/>
      </c>
      <c r="K199" s="6" t="str">
        <f>TRIM(SUBSTITUTE(INDEX([1]ТУ!$A:$G,MATCH($A199,[1]ТУ!$A:$A,0),3+K$7),"*",""))</f>
        <v/>
      </c>
      <c r="L199" s="6" t="str">
        <f>TRIM(SUBSTITUTE(INDEX([1]ТУ!$A:$G,MATCH($A199,[1]ТУ!$A:$A,0),3+L$7),"*",""))</f>
        <v/>
      </c>
      <c r="M199" s="7">
        <f t="shared" si="9"/>
        <v>1</v>
      </c>
      <c r="N199" s="7" t="str">
        <f t="shared" si="10"/>
        <v/>
      </c>
      <c r="O199" s="7" t="str">
        <f t="shared" si="11"/>
        <v/>
      </c>
      <c r="P199" s="7" t="str">
        <f t="shared" si="12"/>
        <v/>
      </c>
    </row>
    <row r="200" spans="1:16" x14ac:dyDescent="0.25">
      <c r="A200" s="1" t="s">
        <v>382</v>
      </c>
      <c r="B200" s="2" t="s">
        <v>383</v>
      </c>
      <c r="C200" s="2" t="s">
        <v>384</v>
      </c>
      <c r="D200" s="8" t="s">
        <v>385</v>
      </c>
      <c r="E200" s="8"/>
      <c r="F200" s="8"/>
      <c r="G200" s="8"/>
      <c r="H200" s="2" t="s">
        <v>386</v>
      </c>
      <c r="I200" s="6" t="str">
        <f>TRIM(SUBSTITUTE(INDEX([1]ТУ!$A:$G,MATCH($A200,[1]ТУ!$A:$A,0),3+I$7),"*",""))</f>
        <v>1800 сек</v>
      </c>
      <c r="J200" s="6" t="str">
        <f>TRIM(SUBSTITUTE(INDEX([1]ТУ!$A:$G,MATCH($A200,[1]ТУ!$A:$A,0),3+J$7),"*",""))</f>
        <v/>
      </c>
      <c r="K200" s="6" t="str">
        <f>TRIM(SUBSTITUTE(INDEX([1]ТУ!$A:$G,MATCH($A200,[1]ТУ!$A:$A,0),3+K$7),"*",""))</f>
        <v/>
      </c>
      <c r="L200" s="6" t="str">
        <f>TRIM(SUBSTITUTE(INDEX([1]ТУ!$A:$G,MATCH($A200,[1]ТУ!$A:$A,0),3+L$7),"*",""))</f>
        <v/>
      </c>
      <c r="M200" s="7">
        <f t="shared" si="9"/>
        <v>1</v>
      </c>
      <c r="N200" s="7" t="str">
        <f t="shared" si="10"/>
        <v/>
      </c>
      <c r="O200" s="7" t="str">
        <f t="shared" si="11"/>
        <v/>
      </c>
      <c r="P200" s="7" t="str">
        <f t="shared" si="12"/>
        <v/>
      </c>
    </row>
    <row r="201" spans="1:16" ht="30" x14ac:dyDescent="0.25">
      <c r="A201" s="1" t="s">
        <v>387</v>
      </c>
      <c r="B201" s="2" t="s">
        <v>389</v>
      </c>
      <c r="C201" s="2" t="s">
        <v>239</v>
      </c>
      <c r="D201" s="8" t="s">
        <v>322</v>
      </c>
      <c r="E201" s="8"/>
      <c r="F201" s="8"/>
      <c r="G201" s="8"/>
      <c r="H201" s="2" t="s">
        <v>388</v>
      </c>
      <c r="I201" s="6" t="str">
        <f>TRIM(SUBSTITUTE(INDEX([1]ТУ!$A:$G,MATCH($A201,[1]ТУ!$A:$A,0),3+I$7),"*",""))</f>
        <v>ДА</v>
      </c>
      <c r="J201" s="6" t="str">
        <f>TRIM(SUBSTITUTE(INDEX([1]ТУ!$A:$G,MATCH($A201,[1]ТУ!$A:$A,0),3+J$7),"*",""))</f>
        <v/>
      </c>
      <c r="K201" s="6" t="str">
        <f>TRIM(SUBSTITUTE(INDEX([1]ТУ!$A:$G,MATCH($A201,[1]ТУ!$A:$A,0),3+K$7),"*",""))</f>
        <v/>
      </c>
      <c r="L201" s="6" t="str">
        <f>TRIM(SUBSTITUTE(INDEX([1]ТУ!$A:$G,MATCH($A201,[1]ТУ!$A:$A,0),3+L$7),"*",""))</f>
        <v/>
      </c>
      <c r="M201" s="7" t="str">
        <f t="shared" ref="M201:M250" si="13">IF($A201&lt;&gt;"",IFERROR(IF(SUBSTITUTE(D201,",",".")&lt;&gt;SUBSTITUTE(SUBSTITUTE(I201,",","."),"∞","oo"),1,""),"!"),"")</f>
        <v/>
      </c>
      <c r="N201" s="7" t="str">
        <f t="shared" ref="N201:N250" si="14">IF($A201&lt;&gt;"",IFERROR(IF(SUBSTITUTE(E201,",",".")&lt;&gt;SUBSTITUTE(SUBSTITUTE(J201,",","."),"∞","oo"),1,""),"!"),"")</f>
        <v/>
      </c>
      <c r="O201" s="7" t="str">
        <f t="shared" ref="O201:O250" si="15">IF($A201&lt;&gt;"",IFERROR(IF(SUBSTITUTE(F201,",",".")&lt;&gt;SUBSTITUTE(SUBSTITUTE(K201,",","."),"∞","oo"),1,""),"!"),"")</f>
        <v/>
      </c>
      <c r="P201" s="7" t="str">
        <f t="shared" ref="P201:P250" si="16">IF($A201&lt;&gt;"",IFERROR(IF(SUBSTITUTE(G201,",",".")&lt;&gt;SUBSTITUTE(SUBSTITUTE(L201,",","."),"∞","oo"),1,""),"!"),"")</f>
        <v/>
      </c>
    </row>
    <row r="202" spans="1:16" ht="30" x14ac:dyDescent="0.25">
      <c r="A202" s="1" t="s">
        <v>390</v>
      </c>
      <c r="B202" s="2" t="s">
        <v>391</v>
      </c>
      <c r="C202" s="2" t="s">
        <v>239</v>
      </c>
      <c r="D202" s="8" t="s">
        <v>322</v>
      </c>
      <c r="E202" s="8"/>
      <c r="F202" s="8"/>
      <c r="G202" s="8"/>
      <c r="H202" s="2" t="s">
        <v>392</v>
      </c>
      <c r="I202" s="6" t="str">
        <f>TRIM(SUBSTITUTE(INDEX([1]ТУ!$A:$G,MATCH($A202,[1]ТУ!$A:$A,0),3+I$7),"*",""))</f>
        <v>ДА</v>
      </c>
      <c r="J202" s="6" t="str">
        <f>TRIM(SUBSTITUTE(INDEX([1]ТУ!$A:$G,MATCH($A202,[1]ТУ!$A:$A,0),3+J$7),"*",""))</f>
        <v/>
      </c>
      <c r="K202" s="6" t="str">
        <f>TRIM(SUBSTITUTE(INDEX([1]ТУ!$A:$G,MATCH($A202,[1]ТУ!$A:$A,0),3+K$7),"*",""))</f>
        <v/>
      </c>
      <c r="L202" s="6" t="str">
        <f>TRIM(SUBSTITUTE(INDEX([1]ТУ!$A:$G,MATCH($A202,[1]ТУ!$A:$A,0),3+L$7),"*",""))</f>
        <v/>
      </c>
      <c r="M202" s="7" t="str">
        <f t="shared" si="13"/>
        <v/>
      </c>
      <c r="N202" s="7" t="str">
        <f t="shared" si="14"/>
        <v/>
      </c>
      <c r="O202" s="7" t="str">
        <f t="shared" si="15"/>
        <v/>
      </c>
      <c r="P202" s="7" t="str">
        <f t="shared" si="16"/>
        <v/>
      </c>
    </row>
    <row r="203" spans="1:16" x14ac:dyDescent="0.25">
      <c r="A203" s="12" t="s">
        <v>393</v>
      </c>
      <c r="B203" s="12"/>
      <c r="C203" s="12"/>
      <c r="D203" s="12"/>
      <c r="E203" s="12"/>
      <c r="F203" s="12"/>
      <c r="G203" s="12"/>
      <c r="H203" s="12"/>
      <c r="I203" s="6" t="str">
        <f>TRIM(SUBSTITUTE(INDEX([1]ТУ!$A:$G,MATCH($A203,[1]ТУ!$A:$A,0),3+I$7),"*",""))</f>
        <v/>
      </c>
      <c r="J203" s="6" t="str">
        <f>TRIM(SUBSTITUTE(INDEX([1]ТУ!$A:$G,MATCH($A203,[1]ТУ!$A:$A,0),3+J$7),"*",""))</f>
        <v/>
      </c>
      <c r="K203" s="6" t="str">
        <f>TRIM(SUBSTITUTE(INDEX([1]ТУ!$A:$G,MATCH($A203,[1]ТУ!$A:$A,0),3+K$7),"*",""))</f>
        <v/>
      </c>
      <c r="L203" s="6" t="str">
        <f>TRIM(SUBSTITUTE(INDEX([1]ТУ!$A:$G,MATCH($A203,[1]ТУ!$A:$A,0),3+L$7),"*",""))</f>
        <v/>
      </c>
      <c r="M203" s="7" t="str">
        <f t="shared" si="13"/>
        <v/>
      </c>
      <c r="N203" s="7" t="str">
        <f t="shared" si="14"/>
        <v/>
      </c>
      <c r="O203" s="7" t="str">
        <f t="shared" si="15"/>
        <v/>
      </c>
      <c r="P203" s="7" t="str">
        <f t="shared" si="16"/>
        <v/>
      </c>
    </row>
    <row r="204" spans="1:16" x14ac:dyDescent="0.25">
      <c r="A204" s="11" t="s">
        <v>78</v>
      </c>
      <c r="B204" s="11" t="s">
        <v>79</v>
      </c>
      <c r="C204" s="11" t="s">
        <v>80</v>
      </c>
      <c r="D204" s="11" t="s">
        <v>81</v>
      </c>
      <c r="E204" s="11"/>
      <c r="F204" s="11"/>
      <c r="G204" s="11"/>
      <c r="H204" s="11" t="s">
        <v>82</v>
      </c>
      <c r="I204" s="6" t="str">
        <f>TRIM(SUBSTITUTE(INDEX([1]ТУ!$A:$G,MATCH($A204,[1]ТУ!$A:$A,0),3+I$7),"*",""))</f>
        <v>Задаваемый параметр</v>
      </c>
      <c r="J204" s="6" t="str">
        <f>TRIM(SUBSTITUTE(INDEX([1]ТУ!$A:$G,MATCH($A204,[1]ТУ!$A:$A,0),3+J$7),"*",""))</f>
        <v/>
      </c>
      <c r="K204" s="6" t="str">
        <f>TRIM(SUBSTITUTE(INDEX([1]ТУ!$A:$G,MATCH($A204,[1]ТУ!$A:$A,0),3+K$7),"*",""))</f>
        <v/>
      </c>
      <c r="L204" s="6" t="str">
        <f>TRIM(SUBSTITUTE(INDEX([1]ТУ!$A:$G,MATCH($A204,[1]ТУ!$A:$A,0),3+L$7),"*",""))</f>
        <v/>
      </c>
      <c r="M204" s="7" t="str">
        <f t="shared" si="13"/>
        <v/>
      </c>
      <c r="N204" s="7" t="str">
        <f t="shared" si="14"/>
        <v/>
      </c>
      <c r="O204" s="7" t="str">
        <f t="shared" si="15"/>
        <v/>
      </c>
      <c r="P204" s="7" t="str">
        <f t="shared" si="16"/>
        <v/>
      </c>
    </row>
    <row r="205" spans="1:16" x14ac:dyDescent="0.25">
      <c r="A205" s="11"/>
      <c r="B205" s="11"/>
      <c r="C205" s="11"/>
      <c r="D205" s="11"/>
      <c r="E205" s="11"/>
      <c r="F205" s="11"/>
      <c r="G205" s="11"/>
      <c r="H205" s="11"/>
      <c r="I205" s="6" t="e">
        <f>TRIM(SUBSTITUTE(INDEX([1]ТУ!$A:$G,MATCH($A205,[1]ТУ!$A:$A,0),3+I$7),"*",""))</f>
        <v>#N/A</v>
      </c>
      <c r="J205" s="6" t="e">
        <f>TRIM(SUBSTITUTE(INDEX([1]ТУ!$A:$G,MATCH($A205,[1]ТУ!$A:$A,0),3+J$7),"*",""))</f>
        <v>#N/A</v>
      </c>
      <c r="K205" s="6" t="e">
        <f>TRIM(SUBSTITUTE(INDEX([1]ТУ!$A:$G,MATCH($A205,[1]ТУ!$A:$A,0),3+K$7),"*",""))</f>
        <v>#N/A</v>
      </c>
      <c r="L205" s="6" t="e">
        <f>TRIM(SUBSTITUTE(INDEX([1]ТУ!$A:$G,MATCH($A205,[1]ТУ!$A:$A,0),3+L$7),"*",""))</f>
        <v>#N/A</v>
      </c>
      <c r="M205" s="7" t="str">
        <f t="shared" si="13"/>
        <v/>
      </c>
      <c r="N205" s="7" t="str">
        <f t="shared" si="14"/>
        <v/>
      </c>
      <c r="O205" s="7" t="str">
        <f t="shared" si="15"/>
        <v/>
      </c>
      <c r="P205" s="7" t="str">
        <f t="shared" si="16"/>
        <v/>
      </c>
    </row>
    <row r="206" spans="1:16" ht="30" x14ac:dyDescent="0.25">
      <c r="A206" s="1" t="s">
        <v>394</v>
      </c>
      <c r="B206" s="2" t="s">
        <v>395</v>
      </c>
      <c r="C206" s="2" t="s">
        <v>239</v>
      </c>
      <c r="D206" s="8" t="s">
        <v>102</v>
      </c>
      <c r="E206" s="8"/>
      <c r="F206" s="8"/>
      <c r="G206" s="8"/>
      <c r="H206" s="2" t="s">
        <v>396</v>
      </c>
      <c r="I206" s="6" t="str">
        <f>TRIM(SUBSTITUTE(INDEX([1]ТУ!$A:$G,MATCH($A206,[1]ТУ!$A:$A,0),3+I$7),"*",""))</f>
        <v>НЕТ</v>
      </c>
      <c r="J206" s="6" t="str">
        <f>TRIM(SUBSTITUTE(INDEX([1]ТУ!$A:$G,MATCH($A206,[1]ТУ!$A:$A,0),3+J$7),"*",""))</f>
        <v/>
      </c>
      <c r="K206" s="6" t="str">
        <f>TRIM(SUBSTITUTE(INDEX([1]ТУ!$A:$G,MATCH($A206,[1]ТУ!$A:$A,0),3+K$7),"*",""))</f>
        <v/>
      </c>
      <c r="L206" s="6" t="str">
        <f>TRIM(SUBSTITUTE(INDEX([1]ТУ!$A:$G,MATCH($A206,[1]ТУ!$A:$A,0),3+L$7),"*",""))</f>
        <v/>
      </c>
      <c r="M206" s="7" t="str">
        <f t="shared" si="13"/>
        <v/>
      </c>
      <c r="N206" s="7" t="str">
        <f t="shared" si="14"/>
        <v/>
      </c>
      <c r="O206" s="7" t="str">
        <f t="shared" si="15"/>
        <v/>
      </c>
      <c r="P206" s="7" t="str">
        <f t="shared" si="16"/>
        <v/>
      </c>
    </row>
    <row r="207" spans="1:16" ht="75" x14ac:dyDescent="0.25">
      <c r="A207" s="1" t="s">
        <v>397</v>
      </c>
      <c r="B207" s="2" t="s">
        <v>398</v>
      </c>
      <c r="C207" s="2" t="s">
        <v>399</v>
      </c>
      <c r="D207" s="8" t="s">
        <v>400</v>
      </c>
      <c r="E207" s="8"/>
      <c r="F207" s="8"/>
      <c r="G207" s="8"/>
      <c r="H207" s="2" t="s">
        <v>401</v>
      </c>
      <c r="I207" s="6" t="str">
        <f>TRIM(SUBSTITUTE(INDEX([1]ТУ!$A:$G,MATCH($A207,[1]ТУ!$A:$A,0),3+I$7),"*",""))</f>
        <v>без</v>
      </c>
      <c r="J207" s="6" t="str">
        <f>TRIM(SUBSTITUTE(INDEX([1]ТУ!$A:$G,MATCH($A207,[1]ТУ!$A:$A,0),3+J$7),"*",""))</f>
        <v/>
      </c>
      <c r="K207" s="6" t="str">
        <f>TRIM(SUBSTITUTE(INDEX([1]ТУ!$A:$G,MATCH($A207,[1]ТУ!$A:$A,0),3+K$7),"*",""))</f>
        <v/>
      </c>
      <c r="L207" s="6" t="str">
        <f>TRIM(SUBSTITUTE(INDEX([1]ТУ!$A:$G,MATCH($A207,[1]ТУ!$A:$A,0),3+L$7),"*",""))</f>
        <v/>
      </c>
      <c r="M207" s="7" t="str">
        <f t="shared" si="13"/>
        <v/>
      </c>
      <c r="N207" s="7" t="str">
        <f t="shared" si="14"/>
        <v/>
      </c>
      <c r="O207" s="7" t="str">
        <f t="shared" si="15"/>
        <v/>
      </c>
      <c r="P207" s="7" t="str">
        <f t="shared" si="16"/>
        <v/>
      </c>
    </row>
    <row r="208" spans="1:16" ht="30" x14ac:dyDescent="0.25">
      <c r="A208" s="1" t="s">
        <v>402</v>
      </c>
      <c r="B208" s="2" t="s">
        <v>403</v>
      </c>
      <c r="C208" s="2" t="s">
        <v>404</v>
      </c>
      <c r="D208" s="8" t="s">
        <v>135</v>
      </c>
      <c r="E208" s="8"/>
      <c r="F208" s="8"/>
      <c r="G208" s="8"/>
      <c r="H208" s="2" t="s">
        <v>405</v>
      </c>
      <c r="I208" s="6" t="str">
        <f>TRIM(SUBSTITUTE(INDEX([1]ТУ!$A:$G,MATCH($A208,[1]ТУ!$A:$A,0),3+I$7),"*",""))</f>
        <v>0.1 сек</v>
      </c>
      <c r="J208" s="6" t="str">
        <f>TRIM(SUBSTITUTE(INDEX([1]ТУ!$A:$G,MATCH($A208,[1]ТУ!$A:$A,0),3+J$7),"*",""))</f>
        <v/>
      </c>
      <c r="K208" s="6" t="str">
        <f>TRIM(SUBSTITUTE(INDEX([1]ТУ!$A:$G,MATCH($A208,[1]ТУ!$A:$A,0),3+K$7),"*",""))</f>
        <v/>
      </c>
      <c r="L208" s="6" t="str">
        <f>TRIM(SUBSTITUTE(INDEX([1]ТУ!$A:$G,MATCH($A208,[1]ТУ!$A:$A,0),3+L$7),"*",""))</f>
        <v/>
      </c>
      <c r="M208" s="7">
        <f t="shared" si="13"/>
        <v>1</v>
      </c>
      <c r="N208" s="7" t="str">
        <f t="shared" si="14"/>
        <v/>
      </c>
      <c r="O208" s="7" t="str">
        <f t="shared" si="15"/>
        <v/>
      </c>
      <c r="P208" s="7" t="str">
        <f t="shared" si="16"/>
        <v/>
      </c>
    </row>
    <row r="209" spans="1:16" x14ac:dyDescent="0.25">
      <c r="A209" s="1" t="s">
        <v>406</v>
      </c>
      <c r="B209" s="2" t="s">
        <v>407</v>
      </c>
      <c r="C209" s="2" t="s">
        <v>408</v>
      </c>
      <c r="D209" s="8" t="s">
        <v>409</v>
      </c>
      <c r="E209" s="8"/>
      <c r="F209" s="8"/>
      <c r="G209" s="8"/>
      <c r="H209" s="2" t="s">
        <v>410</v>
      </c>
      <c r="I209" s="6" t="str">
        <f>TRIM(SUBSTITUTE(INDEX([1]ТУ!$A:$G,MATCH($A209,[1]ТУ!$A:$A,0),3+I$7),"*",""))</f>
        <v>48 В</v>
      </c>
      <c r="J209" s="6" t="str">
        <f>TRIM(SUBSTITUTE(INDEX([1]ТУ!$A:$G,MATCH($A209,[1]ТУ!$A:$A,0),3+J$7),"*",""))</f>
        <v/>
      </c>
      <c r="K209" s="6" t="str">
        <f>TRIM(SUBSTITUTE(INDEX([1]ТУ!$A:$G,MATCH($A209,[1]ТУ!$A:$A,0),3+K$7),"*",""))</f>
        <v/>
      </c>
      <c r="L209" s="6" t="str">
        <f>TRIM(SUBSTITUTE(INDEX([1]ТУ!$A:$G,MATCH($A209,[1]ТУ!$A:$A,0),3+L$7),"*",""))</f>
        <v/>
      </c>
      <c r="M209" s="7" t="str">
        <f t="shared" si="13"/>
        <v/>
      </c>
      <c r="N209" s="7" t="str">
        <f t="shared" si="14"/>
        <v/>
      </c>
      <c r="O209" s="7" t="str">
        <f t="shared" si="15"/>
        <v/>
      </c>
      <c r="P209" s="7" t="str">
        <f t="shared" si="16"/>
        <v/>
      </c>
    </row>
    <row r="210" spans="1:16" x14ac:dyDescent="0.25">
      <c r="A210" s="1" t="s">
        <v>411</v>
      </c>
      <c r="B210" s="2" t="s">
        <v>412</v>
      </c>
      <c r="C210" s="2" t="s">
        <v>413</v>
      </c>
      <c r="D210" s="8" t="s">
        <v>414</v>
      </c>
      <c r="E210" s="8"/>
      <c r="F210" s="8"/>
      <c r="G210" s="8"/>
      <c r="H210" s="2" t="s">
        <v>415</v>
      </c>
      <c r="I210" s="6" t="str">
        <f>TRIM(SUBSTITUTE(INDEX([1]ТУ!$A:$G,MATCH($A210,[1]ТУ!$A:$A,0),3+I$7),"*",""))</f>
        <v>30 В</v>
      </c>
      <c r="J210" s="6" t="str">
        <f>TRIM(SUBSTITUTE(INDEX([1]ТУ!$A:$G,MATCH($A210,[1]ТУ!$A:$A,0),3+J$7),"*",""))</f>
        <v/>
      </c>
      <c r="K210" s="6" t="str">
        <f>TRIM(SUBSTITUTE(INDEX([1]ТУ!$A:$G,MATCH($A210,[1]ТУ!$A:$A,0),3+K$7),"*",""))</f>
        <v/>
      </c>
      <c r="L210" s="6" t="str">
        <f>TRIM(SUBSTITUTE(INDEX([1]ТУ!$A:$G,MATCH($A210,[1]ТУ!$A:$A,0),3+L$7),"*",""))</f>
        <v/>
      </c>
      <c r="M210" s="7" t="str">
        <f t="shared" si="13"/>
        <v/>
      </c>
      <c r="N210" s="7" t="str">
        <f t="shared" si="14"/>
        <v/>
      </c>
      <c r="O210" s="7" t="str">
        <f t="shared" si="15"/>
        <v/>
      </c>
      <c r="P210" s="7" t="str">
        <f t="shared" si="16"/>
        <v/>
      </c>
    </row>
    <row r="211" spans="1:16" ht="17.25" x14ac:dyDescent="0.25">
      <c r="A211" s="10" t="s">
        <v>76</v>
      </c>
      <c r="B211" s="10"/>
      <c r="C211" s="10"/>
      <c r="D211" s="10"/>
      <c r="E211" s="10"/>
      <c r="F211" s="10"/>
      <c r="G211" s="10"/>
      <c r="H211" s="10"/>
      <c r="I211" s="6" t="str">
        <f>TRIM(SUBSTITUTE(INDEX([1]ТУ!$A:$G,MATCH($A211,[1]ТУ!$A:$A,0),3+I$7),"*",""))</f>
        <v/>
      </c>
      <c r="J211" s="6" t="str">
        <f>TRIM(SUBSTITUTE(INDEX([1]ТУ!$A:$G,MATCH($A211,[1]ТУ!$A:$A,0),3+J$7),"*",""))</f>
        <v/>
      </c>
      <c r="K211" s="6" t="str">
        <f>TRIM(SUBSTITUTE(INDEX([1]ТУ!$A:$G,MATCH($A211,[1]ТУ!$A:$A,0),3+K$7),"*",""))</f>
        <v/>
      </c>
      <c r="L211" s="6" t="str">
        <f>TRIM(SUBSTITUTE(INDEX([1]ТУ!$A:$G,MATCH($A211,[1]ТУ!$A:$A,0),3+L$7),"*",""))</f>
        <v/>
      </c>
      <c r="M211" s="7" t="str">
        <f t="shared" si="13"/>
        <v/>
      </c>
      <c r="N211" s="7" t="str">
        <f t="shared" si="14"/>
        <v/>
      </c>
      <c r="O211" s="7" t="str">
        <f t="shared" si="15"/>
        <v/>
      </c>
      <c r="P211" s="7" t="str">
        <f t="shared" si="16"/>
        <v/>
      </c>
    </row>
    <row r="212" spans="1:16" x14ac:dyDescent="0.25">
      <c r="A212" s="12" t="s">
        <v>84</v>
      </c>
      <c r="B212" s="12"/>
      <c r="C212" s="12"/>
      <c r="D212" s="12"/>
      <c r="E212" s="12"/>
      <c r="F212" s="12"/>
      <c r="G212" s="12"/>
      <c r="H212" s="12"/>
      <c r="I212" s="6" t="str">
        <f>TRIM(SUBSTITUTE(INDEX([1]ТУ!$A:$G,MATCH($A212,[1]ТУ!$A:$A,0),3+I$7),"*",""))</f>
        <v/>
      </c>
      <c r="J212" s="6" t="str">
        <f>TRIM(SUBSTITUTE(INDEX([1]ТУ!$A:$G,MATCH($A212,[1]ТУ!$A:$A,0),3+J$7),"*",""))</f>
        <v/>
      </c>
      <c r="K212" s="6" t="str">
        <f>TRIM(SUBSTITUTE(INDEX([1]ТУ!$A:$G,MATCH($A212,[1]ТУ!$A:$A,0),3+K$7),"*",""))</f>
        <v/>
      </c>
      <c r="L212" s="6" t="str">
        <f>TRIM(SUBSTITUTE(INDEX([1]ТУ!$A:$G,MATCH($A212,[1]ТУ!$A:$A,0),3+L$7),"*",""))</f>
        <v/>
      </c>
      <c r="M212" s="7" t="str">
        <f t="shared" si="13"/>
        <v/>
      </c>
      <c r="N212" s="7" t="str">
        <f t="shared" si="14"/>
        <v/>
      </c>
      <c r="O212" s="7" t="str">
        <f t="shared" si="15"/>
        <v/>
      </c>
      <c r="P212" s="7" t="str">
        <f t="shared" si="16"/>
        <v/>
      </c>
    </row>
    <row r="213" spans="1:16" x14ac:dyDescent="0.25">
      <c r="A213" s="11" t="s">
        <v>78</v>
      </c>
      <c r="B213" s="11" t="s">
        <v>79</v>
      </c>
      <c r="C213" s="11" t="s">
        <v>80</v>
      </c>
      <c r="D213" s="11" t="s">
        <v>81</v>
      </c>
      <c r="E213" s="11"/>
      <c r="F213" s="11"/>
      <c r="G213" s="11"/>
      <c r="H213" s="11" t="s">
        <v>82</v>
      </c>
      <c r="I213" s="6" t="str">
        <f>TRIM(SUBSTITUTE(INDEX([1]ТУ!$A:$G,MATCH($A213,[1]ТУ!$A:$A,0),3+I$7),"*",""))</f>
        <v>Задаваемый параметр</v>
      </c>
      <c r="J213" s="6" t="str">
        <f>TRIM(SUBSTITUTE(INDEX([1]ТУ!$A:$G,MATCH($A213,[1]ТУ!$A:$A,0),3+J$7),"*",""))</f>
        <v/>
      </c>
      <c r="K213" s="6" t="str">
        <f>TRIM(SUBSTITUTE(INDEX([1]ТУ!$A:$G,MATCH($A213,[1]ТУ!$A:$A,0),3+K$7),"*",""))</f>
        <v/>
      </c>
      <c r="L213" s="6" t="str">
        <f>TRIM(SUBSTITUTE(INDEX([1]ТУ!$A:$G,MATCH($A213,[1]ТУ!$A:$A,0),3+L$7),"*",""))</f>
        <v/>
      </c>
      <c r="M213" s="7" t="str">
        <f t="shared" si="13"/>
        <v/>
      </c>
      <c r="N213" s="7" t="str">
        <f t="shared" si="14"/>
        <v/>
      </c>
      <c r="O213" s="7" t="str">
        <f t="shared" si="15"/>
        <v/>
      </c>
      <c r="P213" s="7" t="str">
        <f t="shared" si="16"/>
        <v/>
      </c>
    </row>
    <row r="214" spans="1:16" x14ac:dyDescent="0.25">
      <c r="A214" s="11"/>
      <c r="B214" s="11"/>
      <c r="C214" s="11"/>
      <c r="D214" s="11"/>
      <c r="E214" s="11"/>
      <c r="F214" s="11"/>
      <c r="G214" s="11"/>
      <c r="H214" s="11"/>
      <c r="I214" s="6" t="e">
        <f>TRIM(SUBSTITUTE(INDEX([1]ТУ!$A:$G,MATCH($A214,[1]ТУ!$A:$A,0),3+I$7),"*",""))</f>
        <v>#N/A</v>
      </c>
      <c r="J214" s="6" t="e">
        <f>TRIM(SUBSTITUTE(INDEX([1]ТУ!$A:$G,MATCH($A214,[1]ТУ!$A:$A,0),3+J$7),"*",""))</f>
        <v>#N/A</v>
      </c>
      <c r="K214" s="6" t="e">
        <f>TRIM(SUBSTITUTE(INDEX([1]ТУ!$A:$G,MATCH($A214,[1]ТУ!$A:$A,0),3+K$7),"*",""))</f>
        <v>#N/A</v>
      </c>
      <c r="L214" s="6" t="e">
        <f>TRIM(SUBSTITUTE(INDEX([1]ТУ!$A:$G,MATCH($A214,[1]ТУ!$A:$A,0),3+L$7),"*",""))</f>
        <v>#N/A</v>
      </c>
      <c r="M214" s="7" t="str">
        <f t="shared" si="13"/>
        <v/>
      </c>
      <c r="N214" s="7" t="str">
        <f t="shared" si="14"/>
        <v/>
      </c>
      <c r="O214" s="7" t="str">
        <f t="shared" si="15"/>
        <v/>
      </c>
      <c r="P214" s="7" t="str">
        <f t="shared" si="16"/>
        <v/>
      </c>
    </row>
    <row r="215" spans="1:16" ht="30" x14ac:dyDescent="0.25">
      <c r="A215" s="1" t="s">
        <v>416</v>
      </c>
      <c r="B215" s="2" t="s">
        <v>417</v>
      </c>
      <c r="C215" s="2" t="s">
        <v>418</v>
      </c>
      <c r="D215" s="8" t="s">
        <v>336</v>
      </c>
      <c r="E215" s="8"/>
      <c r="F215" s="8"/>
      <c r="G215" s="8"/>
      <c r="H215" s="2" t="s">
        <v>419</v>
      </c>
      <c r="I215" s="6" t="str">
        <f>TRIM(SUBSTITUTE(INDEX([1]ТУ!$A:$G,MATCH($A215,[1]ТУ!$A:$A,0),3+I$7),"*",""))</f>
        <v>ВКЛ</v>
      </c>
      <c r="J215" s="6" t="str">
        <f>TRIM(SUBSTITUTE(INDEX([1]ТУ!$A:$G,MATCH($A215,[1]ТУ!$A:$A,0),3+J$7),"*",""))</f>
        <v/>
      </c>
      <c r="K215" s="6" t="str">
        <f>TRIM(SUBSTITUTE(INDEX([1]ТУ!$A:$G,MATCH($A215,[1]ТУ!$A:$A,0),3+K$7),"*",""))</f>
        <v/>
      </c>
      <c r="L215" s="6" t="str">
        <f>TRIM(SUBSTITUTE(INDEX([1]ТУ!$A:$G,MATCH($A215,[1]ТУ!$A:$A,0),3+L$7),"*",""))</f>
        <v/>
      </c>
      <c r="M215" s="7" t="str">
        <f t="shared" si="13"/>
        <v/>
      </c>
      <c r="N215" s="7" t="str">
        <f t="shared" si="14"/>
        <v/>
      </c>
      <c r="O215" s="7" t="str">
        <f t="shared" si="15"/>
        <v/>
      </c>
      <c r="P215" s="7" t="str">
        <f t="shared" si="16"/>
        <v/>
      </c>
    </row>
    <row r="216" spans="1:16" x14ac:dyDescent="0.25">
      <c r="A216" s="1" t="s">
        <v>420</v>
      </c>
      <c r="B216" s="2" t="s">
        <v>421</v>
      </c>
      <c r="C216" s="2" t="s">
        <v>422</v>
      </c>
      <c r="D216" s="8" t="s">
        <v>175</v>
      </c>
      <c r="E216" s="8"/>
      <c r="F216" s="8"/>
      <c r="G216" s="8"/>
      <c r="H216" s="2" t="s">
        <v>423</v>
      </c>
      <c r="I216" s="6" t="str">
        <f>TRIM(SUBSTITUTE(INDEX([1]ТУ!$A:$G,MATCH($A216,[1]ТУ!$A:$A,0),3+I$7),"*",""))</f>
        <v>0.05 А</v>
      </c>
      <c r="J216" s="6" t="str">
        <f>TRIM(SUBSTITUTE(INDEX([1]ТУ!$A:$G,MATCH($A216,[1]ТУ!$A:$A,0),3+J$7),"*",""))</f>
        <v/>
      </c>
      <c r="K216" s="6" t="str">
        <f>TRIM(SUBSTITUTE(INDEX([1]ТУ!$A:$G,MATCH($A216,[1]ТУ!$A:$A,0),3+K$7),"*",""))</f>
        <v/>
      </c>
      <c r="L216" s="6" t="str">
        <f>TRIM(SUBSTITUTE(INDEX([1]ТУ!$A:$G,MATCH($A216,[1]ТУ!$A:$A,0),3+L$7),"*",""))</f>
        <v/>
      </c>
      <c r="M216" s="7" t="str">
        <f t="shared" si="13"/>
        <v/>
      </c>
      <c r="N216" s="7" t="str">
        <f t="shared" si="14"/>
        <v/>
      </c>
      <c r="O216" s="7" t="str">
        <f t="shared" si="15"/>
        <v/>
      </c>
      <c r="P216" s="7" t="str">
        <f t="shared" si="16"/>
        <v/>
      </c>
    </row>
    <row r="217" spans="1:16" x14ac:dyDescent="0.25">
      <c r="A217" s="1" t="s">
        <v>424</v>
      </c>
      <c r="B217" s="2" t="s">
        <v>425</v>
      </c>
      <c r="C217" s="2" t="s">
        <v>422</v>
      </c>
      <c r="D217" s="8" t="s">
        <v>175</v>
      </c>
      <c r="E217" s="8"/>
      <c r="F217" s="8"/>
      <c r="G217" s="8"/>
      <c r="H217" s="2" t="s">
        <v>426</v>
      </c>
      <c r="I217" s="6" t="str">
        <f>TRIM(SUBSTITUTE(INDEX([1]ТУ!$A:$G,MATCH($A217,[1]ТУ!$A:$A,0),3+I$7),"*",""))</f>
        <v>0.05 А</v>
      </c>
      <c r="J217" s="6" t="str">
        <f>TRIM(SUBSTITUTE(INDEX([1]ТУ!$A:$G,MATCH($A217,[1]ТУ!$A:$A,0),3+J$7),"*",""))</f>
        <v/>
      </c>
      <c r="K217" s="6" t="str">
        <f>TRIM(SUBSTITUTE(INDEX([1]ТУ!$A:$G,MATCH($A217,[1]ТУ!$A:$A,0),3+K$7),"*",""))</f>
        <v/>
      </c>
      <c r="L217" s="6" t="str">
        <f>TRIM(SUBSTITUTE(INDEX([1]ТУ!$A:$G,MATCH($A217,[1]ТУ!$A:$A,0),3+L$7),"*",""))</f>
        <v/>
      </c>
      <c r="M217" s="7" t="str">
        <f t="shared" si="13"/>
        <v/>
      </c>
      <c r="N217" s="7" t="str">
        <f t="shared" si="14"/>
        <v/>
      </c>
      <c r="O217" s="7" t="str">
        <f t="shared" si="15"/>
        <v/>
      </c>
      <c r="P217" s="7" t="str">
        <f t="shared" si="16"/>
        <v/>
      </c>
    </row>
    <row r="218" spans="1:16" ht="30" x14ac:dyDescent="0.25">
      <c r="A218" s="1" t="s">
        <v>427</v>
      </c>
      <c r="B218" s="2" t="s">
        <v>428</v>
      </c>
      <c r="C218" s="2" t="s">
        <v>101</v>
      </c>
      <c r="D218" s="8" t="s">
        <v>102</v>
      </c>
      <c r="E218" s="8"/>
      <c r="F218" s="8"/>
      <c r="G218" s="8"/>
      <c r="H218" s="2" t="s">
        <v>429</v>
      </c>
      <c r="I218" s="6" t="str">
        <f>TRIM(SUBSTITUTE(INDEX([1]ТУ!$A:$G,MATCH($A218,[1]ТУ!$A:$A,0),3+I$7),"*",""))</f>
        <v>НЕТ</v>
      </c>
      <c r="J218" s="6" t="str">
        <f>TRIM(SUBSTITUTE(INDEX([1]ТУ!$A:$G,MATCH($A218,[1]ТУ!$A:$A,0),3+J$7),"*",""))</f>
        <v/>
      </c>
      <c r="K218" s="6" t="str">
        <f>TRIM(SUBSTITUTE(INDEX([1]ТУ!$A:$G,MATCH($A218,[1]ТУ!$A:$A,0),3+K$7),"*",""))</f>
        <v/>
      </c>
      <c r="L218" s="6" t="str">
        <f>TRIM(SUBSTITUTE(INDEX([1]ТУ!$A:$G,MATCH($A218,[1]ТУ!$A:$A,0),3+L$7),"*",""))</f>
        <v/>
      </c>
      <c r="M218" s="7" t="str">
        <f t="shared" si="13"/>
        <v/>
      </c>
      <c r="N218" s="7" t="str">
        <f t="shared" si="14"/>
        <v/>
      </c>
      <c r="O218" s="7" t="str">
        <f t="shared" si="15"/>
        <v/>
      </c>
      <c r="P218" s="7" t="str">
        <f t="shared" si="16"/>
        <v/>
      </c>
    </row>
    <row r="219" spans="1:16" ht="30" x14ac:dyDescent="0.25">
      <c r="A219" s="1" t="s">
        <v>430</v>
      </c>
      <c r="B219" s="2" t="s">
        <v>431</v>
      </c>
      <c r="C219" s="2" t="s">
        <v>239</v>
      </c>
      <c r="D219" s="8" t="s">
        <v>102</v>
      </c>
      <c r="E219" s="8"/>
      <c r="F219" s="8"/>
      <c r="G219" s="8"/>
      <c r="H219" s="2" t="s">
        <v>432</v>
      </c>
      <c r="I219" s="6" t="str">
        <f>TRIM(SUBSTITUTE(INDEX([1]ТУ!$A:$G,MATCH($A219,[1]ТУ!$A:$A,0),3+I$7),"*",""))</f>
        <v>НЕТ</v>
      </c>
      <c r="J219" s="6" t="str">
        <f>TRIM(SUBSTITUTE(INDEX([1]ТУ!$A:$G,MATCH($A219,[1]ТУ!$A:$A,0),3+J$7),"*",""))</f>
        <v/>
      </c>
      <c r="K219" s="6" t="str">
        <f>TRIM(SUBSTITUTE(INDEX([1]ТУ!$A:$G,MATCH($A219,[1]ТУ!$A:$A,0),3+K$7),"*",""))</f>
        <v/>
      </c>
      <c r="L219" s="6" t="str">
        <f>TRIM(SUBSTITUTE(INDEX([1]ТУ!$A:$G,MATCH($A219,[1]ТУ!$A:$A,0),3+L$7),"*",""))</f>
        <v/>
      </c>
      <c r="M219" s="7" t="str">
        <f t="shared" si="13"/>
        <v/>
      </c>
      <c r="N219" s="7" t="str">
        <f t="shared" si="14"/>
        <v/>
      </c>
      <c r="O219" s="7" t="str">
        <f t="shared" si="15"/>
        <v/>
      </c>
      <c r="P219" s="7" t="str">
        <f t="shared" si="16"/>
        <v/>
      </c>
    </row>
    <row r="220" spans="1:16" x14ac:dyDescent="0.25">
      <c r="A220" s="12" t="s">
        <v>433</v>
      </c>
      <c r="B220" s="12"/>
      <c r="C220" s="12"/>
      <c r="D220" s="12"/>
      <c r="E220" s="12"/>
      <c r="F220" s="12"/>
      <c r="G220" s="12"/>
      <c r="H220" s="12"/>
      <c r="I220" s="6" t="str">
        <f>TRIM(SUBSTITUTE(INDEX([1]ТУ!$A:$G,MATCH($A220,[1]ТУ!$A:$A,0),3+I$7),"*",""))</f>
        <v/>
      </c>
      <c r="J220" s="6" t="str">
        <f>TRIM(SUBSTITUTE(INDEX([1]ТУ!$A:$G,MATCH($A220,[1]ТУ!$A:$A,0),3+J$7),"*",""))</f>
        <v/>
      </c>
      <c r="K220" s="6" t="str">
        <f>TRIM(SUBSTITUTE(INDEX([1]ТУ!$A:$G,MATCH($A220,[1]ТУ!$A:$A,0),3+K$7),"*",""))</f>
        <v/>
      </c>
      <c r="L220" s="6" t="str">
        <f>TRIM(SUBSTITUTE(INDEX([1]ТУ!$A:$G,MATCH($A220,[1]ТУ!$A:$A,0),3+L$7),"*",""))</f>
        <v/>
      </c>
      <c r="M220" s="7" t="str">
        <f t="shared" si="13"/>
        <v/>
      </c>
      <c r="N220" s="7" t="str">
        <f t="shared" si="14"/>
        <v/>
      </c>
      <c r="O220" s="7" t="str">
        <f t="shared" si="15"/>
        <v/>
      </c>
      <c r="P220" s="7" t="str">
        <f t="shared" si="16"/>
        <v/>
      </c>
    </row>
    <row r="221" spans="1:16" x14ac:dyDescent="0.25">
      <c r="A221" s="11" t="s">
        <v>78</v>
      </c>
      <c r="B221" s="11" t="s">
        <v>79</v>
      </c>
      <c r="C221" s="11" t="s">
        <v>80</v>
      </c>
      <c r="D221" s="11" t="s">
        <v>81</v>
      </c>
      <c r="E221" s="11"/>
      <c r="F221" s="11"/>
      <c r="G221" s="11"/>
      <c r="H221" s="11" t="s">
        <v>82</v>
      </c>
      <c r="I221" s="6" t="str">
        <f>TRIM(SUBSTITUTE(INDEX([1]ТУ!$A:$G,MATCH($A221,[1]ТУ!$A:$A,0),3+I$7),"*",""))</f>
        <v>Задаваемый параметр</v>
      </c>
      <c r="J221" s="6" t="str">
        <f>TRIM(SUBSTITUTE(INDEX([1]ТУ!$A:$G,MATCH($A221,[1]ТУ!$A:$A,0),3+J$7),"*",""))</f>
        <v/>
      </c>
      <c r="K221" s="6" t="str">
        <f>TRIM(SUBSTITUTE(INDEX([1]ТУ!$A:$G,MATCH($A221,[1]ТУ!$A:$A,0),3+K$7),"*",""))</f>
        <v/>
      </c>
      <c r="L221" s="6" t="str">
        <f>TRIM(SUBSTITUTE(INDEX([1]ТУ!$A:$G,MATCH($A221,[1]ТУ!$A:$A,0),3+L$7),"*",""))</f>
        <v/>
      </c>
      <c r="M221" s="7" t="str">
        <f t="shared" si="13"/>
        <v/>
      </c>
      <c r="N221" s="7" t="str">
        <f t="shared" si="14"/>
        <v/>
      </c>
      <c r="O221" s="7" t="str">
        <f t="shared" si="15"/>
        <v/>
      </c>
      <c r="P221" s="7" t="str">
        <f t="shared" si="16"/>
        <v/>
      </c>
    </row>
    <row r="222" spans="1:16" x14ac:dyDescent="0.25">
      <c r="A222" s="11"/>
      <c r="B222" s="11"/>
      <c r="C222" s="11"/>
      <c r="D222" s="11"/>
      <c r="E222" s="11"/>
      <c r="F222" s="11"/>
      <c r="G222" s="11"/>
      <c r="H222" s="11"/>
      <c r="I222" s="6" t="e">
        <f>TRIM(SUBSTITUTE(INDEX([1]ТУ!$A:$G,MATCH($A222,[1]ТУ!$A:$A,0),3+I$7),"*",""))</f>
        <v>#N/A</v>
      </c>
      <c r="J222" s="6" t="e">
        <f>TRIM(SUBSTITUTE(INDEX([1]ТУ!$A:$G,MATCH($A222,[1]ТУ!$A:$A,0),3+J$7),"*",""))</f>
        <v>#N/A</v>
      </c>
      <c r="K222" s="6" t="e">
        <f>TRIM(SUBSTITUTE(INDEX([1]ТУ!$A:$G,MATCH($A222,[1]ТУ!$A:$A,0),3+K$7),"*",""))</f>
        <v>#N/A</v>
      </c>
      <c r="L222" s="6" t="e">
        <f>TRIM(SUBSTITUTE(INDEX([1]ТУ!$A:$G,MATCH($A222,[1]ТУ!$A:$A,0),3+L$7),"*",""))</f>
        <v>#N/A</v>
      </c>
      <c r="M222" s="7" t="str">
        <f t="shared" si="13"/>
        <v/>
      </c>
      <c r="N222" s="7" t="str">
        <f t="shared" si="14"/>
        <v/>
      </c>
      <c r="O222" s="7" t="str">
        <f t="shared" si="15"/>
        <v/>
      </c>
      <c r="P222" s="7" t="str">
        <f t="shared" si="16"/>
        <v/>
      </c>
    </row>
    <row r="223" spans="1:16" x14ac:dyDescent="0.25">
      <c r="A223" s="1" t="s">
        <v>434</v>
      </c>
      <c r="B223" s="2" t="s">
        <v>435</v>
      </c>
      <c r="C223" s="2" t="s">
        <v>436</v>
      </c>
      <c r="D223" s="8" t="s">
        <v>437</v>
      </c>
      <c r="E223" s="8"/>
      <c r="F223" s="8"/>
      <c r="G223" s="8"/>
      <c r="H223" s="2" t="s">
        <v>438</v>
      </c>
      <c r="I223" s="6" t="str">
        <f>TRIM(SUBSTITUTE(INDEX([1]ТУ!$A:$G,MATCH($A223,[1]ТУ!$A:$A,0),3+I$7),"*",""))</f>
        <v>0.12 сек</v>
      </c>
      <c r="J223" s="6" t="str">
        <f>TRIM(SUBSTITUTE(INDEX([1]ТУ!$A:$G,MATCH($A223,[1]ТУ!$A:$A,0),3+J$7),"*",""))</f>
        <v/>
      </c>
      <c r="K223" s="6" t="str">
        <f>TRIM(SUBSTITUTE(INDEX([1]ТУ!$A:$G,MATCH($A223,[1]ТУ!$A:$A,0),3+K$7),"*",""))</f>
        <v/>
      </c>
      <c r="L223" s="6" t="str">
        <f>TRIM(SUBSTITUTE(INDEX([1]ТУ!$A:$G,MATCH($A223,[1]ТУ!$A:$A,0),3+L$7),"*",""))</f>
        <v/>
      </c>
      <c r="M223" s="7" t="str">
        <f t="shared" si="13"/>
        <v/>
      </c>
      <c r="N223" s="7" t="str">
        <f t="shared" si="14"/>
        <v/>
      </c>
      <c r="O223" s="7" t="str">
        <f t="shared" si="15"/>
        <v/>
      </c>
      <c r="P223" s="7" t="str">
        <f t="shared" si="16"/>
        <v/>
      </c>
    </row>
    <row r="224" spans="1:16" x14ac:dyDescent="0.25">
      <c r="A224" s="1" t="s">
        <v>439</v>
      </c>
      <c r="B224" s="2" t="s">
        <v>440</v>
      </c>
      <c r="C224" s="2" t="s">
        <v>436</v>
      </c>
      <c r="D224" s="8" t="s">
        <v>437</v>
      </c>
      <c r="E224" s="8"/>
      <c r="F224" s="8"/>
      <c r="G224" s="8"/>
      <c r="H224" s="2" t="s">
        <v>441</v>
      </c>
      <c r="I224" s="6" t="str">
        <f>TRIM(SUBSTITUTE(INDEX([1]ТУ!$A:$G,MATCH($A224,[1]ТУ!$A:$A,0),3+I$7),"*",""))</f>
        <v>0.12 сек</v>
      </c>
      <c r="J224" s="6" t="str">
        <f>TRIM(SUBSTITUTE(INDEX([1]ТУ!$A:$G,MATCH($A224,[1]ТУ!$A:$A,0),3+J$7),"*",""))</f>
        <v/>
      </c>
      <c r="K224" s="6" t="str">
        <f>TRIM(SUBSTITUTE(INDEX([1]ТУ!$A:$G,MATCH($A224,[1]ТУ!$A:$A,0),3+K$7),"*",""))</f>
        <v/>
      </c>
      <c r="L224" s="6" t="str">
        <f>TRIM(SUBSTITUTE(INDEX([1]ТУ!$A:$G,MATCH($A224,[1]ТУ!$A:$A,0),3+L$7),"*",""))</f>
        <v/>
      </c>
      <c r="M224" s="7" t="str">
        <f t="shared" si="13"/>
        <v/>
      </c>
      <c r="N224" s="7" t="str">
        <f t="shared" si="14"/>
        <v/>
      </c>
      <c r="O224" s="7" t="str">
        <f t="shared" si="15"/>
        <v/>
      </c>
      <c r="P224" s="7" t="str">
        <f t="shared" si="16"/>
        <v/>
      </c>
    </row>
    <row r="225" spans="1:16" x14ac:dyDescent="0.25">
      <c r="A225" s="1" t="s">
        <v>442</v>
      </c>
      <c r="B225" s="2" t="s">
        <v>443</v>
      </c>
      <c r="C225" s="2" t="s">
        <v>436</v>
      </c>
      <c r="D225" s="8" t="s">
        <v>289</v>
      </c>
      <c r="E225" s="8"/>
      <c r="F225" s="8"/>
      <c r="G225" s="8"/>
      <c r="H225" s="2" t="s">
        <v>444</v>
      </c>
      <c r="I225" s="6" t="str">
        <f>TRIM(SUBSTITUTE(INDEX([1]ТУ!$A:$G,MATCH($A225,[1]ТУ!$A:$A,0),3+I$7),"*",""))</f>
        <v>0.3 сек</v>
      </c>
      <c r="J225" s="6" t="str">
        <f>TRIM(SUBSTITUTE(INDEX([1]ТУ!$A:$G,MATCH($A225,[1]ТУ!$A:$A,0),3+J$7),"*",""))</f>
        <v/>
      </c>
      <c r="K225" s="6" t="str">
        <f>TRIM(SUBSTITUTE(INDEX([1]ТУ!$A:$G,MATCH($A225,[1]ТУ!$A:$A,0),3+K$7),"*",""))</f>
        <v/>
      </c>
      <c r="L225" s="6" t="str">
        <f>TRIM(SUBSTITUTE(INDEX([1]ТУ!$A:$G,MATCH($A225,[1]ТУ!$A:$A,0),3+L$7),"*",""))</f>
        <v/>
      </c>
      <c r="M225" s="7">
        <f t="shared" si="13"/>
        <v>1</v>
      </c>
      <c r="N225" s="7" t="str">
        <f t="shared" si="14"/>
        <v/>
      </c>
      <c r="O225" s="7" t="str">
        <f t="shared" si="15"/>
        <v/>
      </c>
      <c r="P225" s="7" t="str">
        <f t="shared" si="16"/>
        <v/>
      </c>
    </row>
    <row r="226" spans="1:16" x14ac:dyDescent="0.25">
      <c r="A226" s="12" t="s">
        <v>445</v>
      </c>
      <c r="B226" s="12"/>
      <c r="C226" s="12"/>
      <c r="D226" s="12"/>
      <c r="E226" s="12"/>
      <c r="F226" s="12"/>
      <c r="G226" s="12"/>
      <c r="H226" s="12"/>
      <c r="I226" s="6" t="str">
        <f>TRIM(SUBSTITUTE(INDEX([1]ТУ!$A:$G,MATCH($A226,[1]ТУ!$A:$A,0),3+I$7),"*",""))</f>
        <v/>
      </c>
      <c r="J226" s="6" t="str">
        <f>TRIM(SUBSTITUTE(INDEX([1]ТУ!$A:$G,MATCH($A226,[1]ТУ!$A:$A,0),3+J$7),"*",""))</f>
        <v/>
      </c>
      <c r="K226" s="6" t="str">
        <f>TRIM(SUBSTITUTE(INDEX([1]ТУ!$A:$G,MATCH($A226,[1]ТУ!$A:$A,0),3+K$7),"*",""))</f>
        <v/>
      </c>
      <c r="L226" s="6" t="str">
        <f>TRIM(SUBSTITUTE(INDEX([1]ТУ!$A:$G,MATCH($A226,[1]ТУ!$A:$A,0),3+L$7),"*",""))</f>
        <v/>
      </c>
      <c r="M226" s="7" t="str">
        <f t="shared" si="13"/>
        <v/>
      </c>
      <c r="N226" s="7" t="str">
        <f t="shared" si="14"/>
        <v/>
      </c>
      <c r="O226" s="7" t="str">
        <f t="shared" si="15"/>
        <v/>
      </c>
      <c r="P226" s="7" t="str">
        <f t="shared" si="16"/>
        <v/>
      </c>
    </row>
    <row r="227" spans="1:16" x14ac:dyDescent="0.25">
      <c r="A227" s="11" t="s">
        <v>78</v>
      </c>
      <c r="B227" s="11" t="s">
        <v>79</v>
      </c>
      <c r="C227" s="11" t="s">
        <v>80</v>
      </c>
      <c r="D227" s="11" t="s">
        <v>81</v>
      </c>
      <c r="E227" s="11"/>
      <c r="F227" s="11"/>
      <c r="G227" s="11"/>
      <c r="H227" s="11" t="s">
        <v>82</v>
      </c>
      <c r="I227" s="6" t="str">
        <f>TRIM(SUBSTITUTE(INDEX([1]ТУ!$A:$G,MATCH($A227,[1]ТУ!$A:$A,0),3+I$7),"*",""))</f>
        <v>Задаваемый параметр</v>
      </c>
      <c r="J227" s="6" t="str">
        <f>TRIM(SUBSTITUTE(INDEX([1]ТУ!$A:$G,MATCH($A227,[1]ТУ!$A:$A,0),3+J$7),"*",""))</f>
        <v/>
      </c>
      <c r="K227" s="6" t="str">
        <f>TRIM(SUBSTITUTE(INDEX([1]ТУ!$A:$G,MATCH($A227,[1]ТУ!$A:$A,0),3+K$7),"*",""))</f>
        <v/>
      </c>
      <c r="L227" s="6" t="str">
        <f>TRIM(SUBSTITUTE(INDEX([1]ТУ!$A:$G,MATCH($A227,[1]ТУ!$A:$A,0),3+L$7),"*",""))</f>
        <v/>
      </c>
      <c r="M227" s="7" t="str">
        <f t="shared" si="13"/>
        <v/>
      </c>
      <c r="N227" s="7" t="str">
        <f t="shared" si="14"/>
        <v/>
      </c>
      <c r="O227" s="7" t="str">
        <f t="shared" si="15"/>
        <v/>
      </c>
      <c r="P227" s="7" t="str">
        <f t="shared" si="16"/>
        <v/>
      </c>
    </row>
    <row r="228" spans="1:16" x14ac:dyDescent="0.25">
      <c r="A228" s="11"/>
      <c r="B228" s="11"/>
      <c r="C228" s="11"/>
      <c r="D228" s="11"/>
      <c r="E228" s="11"/>
      <c r="F228" s="11"/>
      <c r="G228" s="11"/>
      <c r="H228" s="11"/>
      <c r="I228" s="6" t="e">
        <f>TRIM(SUBSTITUTE(INDEX([1]ТУ!$A:$G,MATCH($A228,[1]ТУ!$A:$A,0),3+I$7),"*",""))</f>
        <v>#N/A</v>
      </c>
      <c r="J228" s="6" t="e">
        <f>TRIM(SUBSTITUTE(INDEX([1]ТУ!$A:$G,MATCH($A228,[1]ТУ!$A:$A,0),3+J$7),"*",""))</f>
        <v>#N/A</v>
      </c>
      <c r="K228" s="6" t="e">
        <f>TRIM(SUBSTITUTE(INDEX([1]ТУ!$A:$G,MATCH($A228,[1]ТУ!$A:$A,0),3+K$7),"*",""))</f>
        <v>#N/A</v>
      </c>
      <c r="L228" s="6" t="e">
        <f>TRIM(SUBSTITUTE(INDEX([1]ТУ!$A:$G,MATCH($A228,[1]ТУ!$A:$A,0),3+L$7),"*",""))</f>
        <v>#N/A</v>
      </c>
      <c r="M228" s="7" t="str">
        <f t="shared" si="13"/>
        <v/>
      </c>
      <c r="N228" s="7" t="str">
        <f t="shared" si="14"/>
        <v/>
      </c>
      <c r="O228" s="7" t="str">
        <f t="shared" si="15"/>
        <v/>
      </c>
      <c r="P228" s="7" t="str">
        <f t="shared" si="16"/>
        <v/>
      </c>
    </row>
    <row r="229" spans="1:16" x14ac:dyDescent="0.25">
      <c r="A229" s="1" t="s">
        <v>446</v>
      </c>
      <c r="B229" s="2" t="s">
        <v>447</v>
      </c>
      <c r="C229" s="2" t="s">
        <v>436</v>
      </c>
      <c r="D229" s="8" t="s">
        <v>448</v>
      </c>
      <c r="E229" s="8"/>
      <c r="F229" s="8"/>
      <c r="G229" s="8"/>
      <c r="H229" s="2" t="s">
        <v>449</v>
      </c>
      <c r="I229" s="6" t="str">
        <f>TRIM(SUBSTITUTE(INDEX([1]ТУ!$A:$G,MATCH($A229,[1]ТУ!$A:$A,0),3+I$7),"*",""))</f>
        <v>0.2 сек</v>
      </c>
      <c r="J229" s="6" t="str">
        <f>TRIM(SUBSTITUTE(INDEX([1]ТУ!$A:$G,MATCH($A229,[1]ТУ!$A:$A,0),3+J$7),"*",""))</f>
        <v/>
      </c>
      <c r="K229" s="6" t="str">
        <f>TRIM(SUBSTITUTE(INDEX([1]ТУ!$A:$G,MATCH($A229,[1]ТУ!$A:$A,0),3+K$7),"*",""))</f>
        <v/>
      </c>
      <c r="L229" s="6" t="str">
        <f>TRIM(SUBSTITUTE(INDEX([1]ТУ!$A:$G,MATCH($A229,[1]ТУ!$A:$A,0),3+L$7),"*",""))</f>
        <v/>
      </c>
      <c r="M229" s="7">
        <f t="shared" si="13"/>
        <v>1</v>
      </c>
      <c r="N229" s="7" t="str">
        <f t="shared" si="14"/>
        <v/>
      </c>
      <c r="O229" s="7" t="str">
        <f t="shared" si="15"/>
        <v/>
      </c>
      <c r="P229" s="7" t="str">
        <f t="shared" si="16"/>
        <v/>
      </c>
    </row>
    <row r="230" spans="1:16" ht="60" x14ac:dyDescent="0.25">
      <c r="A230" s="1" t="s">
        <v>450</v>
      </c>
      <c r="B230" s="2" t="s">
        <v>451</v>
      </c>
      <c r="C230" s="2" t="s">
        <v>452</v>
      </c>
      <c r="D230" s="8" t="s">
        <v>453</v>
      </c>
      <c r="E230" s="8"/>
      <c r="F230" s="8"/>
      <c r="G230" s="8"/>
      <c r="H230" s="2" t="s">
        <v>454</v>
      </c>
      <c r="I230" s="6" t="str">
        <f>TRIM(SUBSTITUTE(INDEX([1]ТУ!$A:$G,MATCH($A230,[1]ТУ!$A:$A,0),3+I$7),"*",""))</f>
        <v>УРОВ Откл (Т1 и Т2)</v>
      </c>
      <c r="J230" s="6" t="str">
        <f>TRIM(SUBSTITUTE(INDEX([1]ТУ!$A:$G,MATCH($A230,[1]ТУ!$A:$A,0),3+J$7),"*",""))</f>
        <v/>
      </c>
      <c r="K230" s="6" t="str">
        <f>TRIM(SUBSTITUTE(INDEX([1]ТУ!$A:$G,MATCH($A230,[1]ТУ!$A:$A,0),3+K$7),"*",""))</f>
        <v/>
      </c>
      <c r="L230" s="6" t="str">
        <f>TRIM(SUBSTITUTE(INDEX([1]ТУ!$A:$G,MATCH($A230,[1]ТУ!$A:$A,0),3+L$7),"*",""))</f>
        <v/>
      </c>
      <c r="M230" s="7" t="str">
        <f t="shared" si="13"/>
        <v/>
      </c>
      <c r="N230" s="7" t="str">
        <f t="shared" si="14"/>
        <v/>
      </c>
      <c r="O230" s="7" t="str">
        <f t="shared" si="15"/>
        <v/>
      </c>
      <c r="P230" s="7" t="str">
        <f t="shared" si="16"/>
        <v/>
      </c>
    </row>
    <row r="231" spans="1:16" x14ac:dyDescent="0.25">
      <c r="A231" s="12" t="s">
        <v>455</v>
      </c>
      <c r="B231" s="12"/>
      <c r="C231" s="12"/>
      <c r="D231" s="12"/>
      <c r="E231" s="12"/>
      <c r="F231" s="12"/>
      <c r="G231" s="12"/>
      <c r="H231" s="12"/>
      <c r="I231" s="6" t="str">
        <f>TRIM(SUBSTITUTE(INDEX([1]ТУ!$A:$G,MATCH($A231,[1]ТУ!$A:$A,0),3+I$7),"*",""))</f>
        <v/>
      </c>
      <c r="J231" s="6" t="str">
        <f>TRIM(SUBSTITUTE(INDEX([1]ТУ!$A:$G,MATCH($A231,[1]ТУ!$A:$A,0),3+J$7),"*",""))</f>
        <v/>
      </c>
      <c r="K231" s="6" t="str">
        <f>TRIM(SUBSTITUTE(INDEX([1]ТУ!$A:$G,MATCH($A231,[1]ТУ!$A:$A,0),3+K$7),"*",""))</f>
        <v/>
      </c>
      <c r="L231" s="6" t="str">
        <f>TRIM(SUBSTITUTE(INDEX([1]ТУ!$A:$G,MATCH($A231,[1]ТУ!$A:$A,0),3+L$7),"*",""))</f>
        <v/>
      </c>
      <c r="M231" s="7" t="str">
        <f t="shared" si="13"/>
        <v/>
      </c>
      <c r="N231" s="7" t="str">
        <f t="shared" si="14"/>
        <v/>
      </c>
      <c r="O231" s="7" t="str">
        <f t="shared" si="15"/>
        <v/>
      </c>
      <c r="P231" s="7" t="str">
        <f t="shared" si="16"/>
        <v/>
      </c>
    </row>
    <row r="232" spans="1:16" x14ac:dyDescent="0.25">
      <c r="A232" s="11" t="s">
        <v>78</v>
      </c>
      <c r="B232" s="11" t="s">
        <v>79</v>
      </c>
      <c r="C232" s="11" t="s">
        <v>80</v>
      </c>
      <c r="D232" s="11" t="s">
        <v>81</v>
      </c>
      <c r="E232" s="11"/>
      <c r="F232" s="11"/>
      <c r="G232" s="11"/>
      <c r="H232" s="11" t="s">
        <v>82</v>
      </c>
      <c r="I232" s="6" t="str">
        <f>TRIM(SUBSTITUTE(INDEX([1]ТУ!$A:$G,MATCH($A232,[1]ТУ!$A:$A,0),3+I$7),"*",""))</f>
        <v>Задаваемый параметр</v>
      </c>
      <c r="J232" s="6" t="str">
        <f>TRIM(SUBSTITUTE(INDEX([1]ТУ!$A:$G,MATCH($A232,[1]ТУ!$A:$A,0),3+J$7),"*",""))</f>
        <v/>
      </c>
      <c r="K232" s="6" t="str">
        <f>TRIM(SUBSTITUTE(INDEX([1]ТУ!$A:$G,MATCH($A232,[1]ТУ!$A:$A,0),3+K$7),"*",""))</f>
        <v/>
      </c>
      <c r="L232" s="6" t="str">
        <f>TRIM(SUBSTITUTE(INDEX([1]ТУ!$A:$G,MATCH($A232,[1]ТУ!$A:$A,0),3+L$7),"*",""))</f>
        <v/>
      </c>
      <c r="M232" s="7" t="str">
        <f t="shared" si="13"/>
        <v/>
      </c>
      <c r="N232" s="7" t="str">
        <f t="shared" si="14"/>
        <v/>
      </c>
      <c r="O232" s="7" t="str">
        <f t="shared" si="15"/>
        <v/>
      </c>
      <c r="P232" s="7" t="str">
        <f t="shared" si="16"/>
        <v/>
      </c>
    </row>
    <row r="233" spans="1:16" x14ac:dyDescent="0.25">
      <c r="A233" s="11"/>
      <c r="B233" s="11"/>
      <c r="C233" s="11"/>
      <c r="D233" s="11"/>
      <c r="E233" s="11"/>
      <c r="F233" s="11"/>
      <c r="G233" s="11"/>
      <c r="H233" s="11"/>
      <c r="I233" s="6" t="e">
        <f>TRIM(SUBSTITUTE(INDEX([1]ТУ!$A:$G,MATCH($A233,[1]ТУ!$A:$A,0),3+I$7),"*",""))</f>
        <v>#N/A</v>
      </c>
      <c r="J233" s="6" t="e">
        <f>TRIM(SUBSTITUTE(INDEX([1]ТУ!$A:$G,MATCH($A233,[1]ТУ!$A:$A,0),3+J$7),"*",""))</f>
        <v>#N/A</v>
      </c>
      <c r="K233" s="6" t="e">
        <f>TRIM(SUBSTITUTE(INDEX([1]ТУ!$A:$G,MATCH($A233,[1]ТУ!$A:$A,0),3+K$7),"*",""))</f>
        <v>#N/A</v>
      </c>
      <c r="L233" s="6" t="e">
        <f>TRIM(SUBSTITUTE(INDEX([1]ТУ!$A:$G,MATCH($A233,[1]ТУ!$A:$A,0),3+L$7),"*",""))</f>
        <v>#N/A</v>
      </c>
      <c r="M233" s="7" t="str">
        <f t="shared" si="13"/>
        <v/>
      </c>
      <c r="N233" s="7" t="str">
        <f t="shared" si="14"/>
        <v/>
      </c>
      <c r="O233" s="7" t="str">
        <f t="shared" si="15"/>
        <v/>
      </c>
      <c r="P233" s="7" t="str">
        <f t="shared" si="16"/>
        <v/>
      </c>
    </row>
    <row r="234" spans="1:16" ht="30" x14ac:dyDescent="0.25">
      <c r="A234" s="1" t="s">
        <v>456</v>
      </c>
      <c r="B234" s="2" t="s">
        <v>457</v>
      </c>
      <c r="C234" s="2" t="s">
        <v>418</v>
      </c>
      <c r="D234" s="8" t="s">
        <v>336</v>
      </c>
      <c r="E234" s="8"/>
      <c r="F234" s="8"/>
      <c r="G234" s="8"/>
      <c r="H234" s="2" t="s">
        <v>458</v>
      </c>
      <c r="I234" s="6" t="str">
        <f>TRIM(SUBSTITUTE(INDEX([1]ТУ!$A:$G,MATCH($A234,[1]ТУ!$A:$A,0),3+I$7),"*",""))</f>
        <v>ВКЛ</v>
      </c>
      <c r="J234" s="6" t="str">
        <f>TRIM(SUBSTITUTE(INDEX([1]ТУ!$A:$G,MATCH($A234,[1]ТУ!$A:$A,0),3+J$7),"*",""))</f>
        <v/>
      </c>
      <c r="K234" s="6" t="str">
        <f>TRIM(SUBSTITUTE(INDEX([1]ТУ!$A:$G,MATCH($A234,[1]ТУ!$A:$A,0),3+K$7),"*",""))</f>
        <v/>
      </c>
      <c r="L234" s="6" t="str">
        <f>TRIM(SUBSTITUTE(INDEX([1]ТУ!$A:$G,MATCH($A234,[1]ТУ!$A:$A,0),3+L$7),"*",""))</f>
        <v/>
      </c>
      <c r="M234" s="7" t="str">
        <f t="shared" si="13"/>
        <v/>
      </c>
      <c r="N234" s="7" t="str">
        <f t="shared" si="14"/>
        <v/>
      </c>
      <c r="O234" s="7" t="str">
        <f t="shared" si="15"/>
        <v/>
      </c>
      <c r="P234" s="7" t="str">
        <f t="shared" si="16"/>
        <v/>
      </c>
    </row>
    <row r="235" spans="1:16" x14ac:dyDescent="0.25">
      <c r="A235" s="1" t="s">
        <v>459</v>
      </c>
      <c r="B235" s="2" t="s">
        <v>460</v>
      </c>
      <c r="C235" s="2" t="s">
        <v>436</v>
      </c>
      <c r="D235" s="8" t="s">
        <v>289</v>
      </c>
      <c r="E235" s="8"/>
      <c r="F235" s="8"/>
      <c r="G235" s="8"/>
      <c r="H235" s="2" t="s">
        <v>461</v>
      </c>
      <c r="I235" s="6" t="str">
        <f>TRIM(SUBSTITUTE(INDEX([1]ТУ!$A:$G,MATCH($A235,[1]ТУ!$A:$A,0),3+I$7),"*",""))</f>
        <v>0.3 сек</v>
      </c>
      <c r="J235" s="6" t="str">
        <f>TRIM(SUBSTITUTE(INDEX([1]ТУ!$A:$G,MATCH($A235,[1]ТУ!$A:$A,0),3+J$7),"*",""))</f>
        <v/>
      </c>
      <c r="K235" s="6" t="str">
        <f>TRIM(SUBSTITUTE(INDEX([1]ТУ!$A:$G,MATCH($A235,[1]ТУ!$A:$A,0),3+K$7),"*",""))</f>
        <v/>
      </c>
      <c r="L235" s="6" t="str">
        <f>TRIM(SUBSTITUTE(INDEX([1]ТУ!$A:$G,MATCH($A235,[1]ТУ!$A:$A,0),3+L$7),"*",""))</f>
        <v/>
      </c>
      <c r="M235" s="7">
        <f t="shared" si="13"/>
        <v>1</v>
      </c>
      <c r="N235" s="7" t="str">
        <f t="shared" si="14"/>
        <v/>
      </c>
      <c r="O235" s="7" t="str">
        <f t="shared" si="15"/>
        <v/>
      </c>
      <c r="P235" s="7" t="str">
        <f t="shared" si="16"/>
        <v/>
      </c>
    </row>
    <row r="236" spans="1:16" x14ac:dyDescent="0.25">
      <c r="A236" s="12" t="s">
        <v>462</v>
      </c>
      <c r="B236" s="12"/>
      <c r="C236" s="12"/>
      <c r="D236" s="12"/>
      <c r="E236" s="12"/>
      <c r="F236" s="12"/>
      <c r="G236" s="12"/>
      <c r="H236" s="12"/>
      <c r="I236" s="6" t="str">
        <f>TRIM(SUBSTITUTE(INDEX([1]ТУ!$A:$G,MATCH($A236,[1]ТУ!$A:$A,0),3+I$7),"*",""))</f>
        <v/>
      </c>
      <c r="J236" s="6" t="str">
        <f>TRIM(SUBSTITUTE(INDEX([1]ТУ!$A:$G,MATCH($A236,[1]ТУ!$A:$A,0),3+J$7),"*",""))</f>
        <v/>
      </c>
      <c r="K236" s="6" t="str">
        <f>TRIM(SUBSTITUTE(INDEX([1]ТУ!$A:$G,MATCH($A236,[1]ТУ!$A:$A,0),3+K$7),"*",""))</f>
        <v/>
      </c>
      <c r="L236" s="6" t="str">
        <f>TRIM(SUBSTITUTE(INDEX([1]ТУ!$A:$G,MATCH($A236,[1]ТУ!$A:$A,0),3+L$7),"*",""))</f>
        <v/>
      </c>
      <c r="M236" s="7" t="str">
        <f t="shared" si="13"/>
        <v/>
      </c>
      <c r="N236" s="7" t="str">
        <f t="shared" si="14"/>
        <v/>
      </c>
      <c r="O236" s="7" t="str">
        <f t="shared" si="15"/>
        <v/>
      </c>
      <c r="P236" s="7" t="str">
        <f t="shared" si="16"/>
        <v/>
      </c>
    </row>
    <row r="237" spans="1:16" x14ac:dyDescent="0.25">
      <c r="A237" s="11" t="s">
        <v>78</v>
      </c>
      <c r="B237" s="11" t="s">
        <v>79</v>
      </c>
      <c r="C237" s="11" t="s">
        <v>80</v>
      </c>
      <c r="D237" s="11" t="s">
        <v>81</v>
      </c>
      <c r="E237" s="11"/>
      <c r="F237" s="11"/>
      <c r="G237" s="11"/>
      <c r="H237" s="11" t="s">
        <v>82</v>
      </c>
      <c r="I237" s="6" t="str">
        <f>TRIM(SUBSTITUTE(INDEX([1]ТУ!$A:$G,MATCH($A237,[1]ТУ!$A:$A,0),3+I$7),"*",""))</f>
        <v>Задаваемый параметр</v>
      </c>
      <c r="J237" s="6" t="str">
        <f>TRIM(SUBSTITUTE(INDEX([1]ТУ!$A:$G,MATCH($A237,[1]ТУ!$A:$A,0),3+J$7),"*",""))</f>
        <v/>
      </c>
      <c r="K237" s="6" t="str">
        <f>TRIM(SUBSTITUTE(INDEX([1]ТУ!$A:$G,MATCH($A237,[1]ТУ!$A:$A,0),3+K$7),"*",""))</f>
        <v/>
      </c>
      <c r="L237" s="6" t="str">
        <f>TRIM(SUBSTITUTE(INDEX([1]ТУ!$A:$G,MATCH($A237,[1]ТУ!$A:$A,0),3+L$7),"*",""))</f>
        <v/>
      </c>
      <c r="M237" s="7" t="str">
        <f t="shared" si="13"/>
        <v/>
      </c>
      <c r="N237" s="7" t="str">
        <f t="shared" si="14"/>
        <v/>
      </c>
      <c r="O237" s="7" t="str">
        <f t="shared" si="15"/>
        <v/>
      </c>
      <c r="P237" s="7" t="str">
        <f t="shared" si="16"/>
        <v/>
      </c>
    </row>
    <row r="238" spans="1:16" x14ac:dyDescent="0.25">
      <c r="A238" s="11"/>
      <c r="B238" s="11"/>
      <c r="C238" s="11"/>
      <c r="D238" s="11"/>
      <c r="E238" s="11"/>
      <c r="F238" s="11"/>
      <c r="G238" s="11"/>
      <c r="H238" s="11"/>
      <c r="I238" s="6" t="e">
        <f>TRIM(SUBSTITUTE(INDEX([1]ТУ!$A:$G,MATCH($A238,[1]ТУ!$A:$A,0),3+I$7),"*",""))</f>
        <v>#N/A</v>
      </c>
      <c r="J238" s="6" t="e">
        <f>TRIM(SUBSTITUTE(INDEX([1]ТУ!$A:$G,MATCH($A238,[1]ТУ!$A:$A,0),3+J$7),"*",""))</f>
        <v>#N/A</v>
      </c>
      <c r="K238" s="6" t="e">
        <f>TRIM(SUBSTITUTE(INDEX([1]ТУ!$A:$G,MATCH($A238,[1]ТУ!$A:$A,0),3+K$7),"*",""))</f>
        <v>#N/A</v>
      </c>
      <c r="L238" s="6" t="e">
        <f>TRIM(SUBSTITUTE(INDEX([1]ТУ!$A:$G,MATCH($A238,[1]ТУ!$A:$A,0),3+L$7),"*",""))</f>
        <v>#N/A</v>
      </c>
      <c r="M238" s="7" t="str">
        <f t="shared" si="13"/>
        <v/>
      </c>
      <c r="N238" s="7" t="str">
        <f t="shared" si="14"/>
        <v/>
      </c>
      <c r="O238" s="7" t="str">
        <f t="shared" si="15"/>
        <v/>
      </c>
      <c r="P238" s="7" t="str">
        <f t="shared" si="16"/>
        <v/>
      </c>
    </row>
    <row r="239" spans="1:16" ht="30" x14ac:dyDescent="0.25">
      <c r="A239" s="1" t="s">
        <v>463</v>
      </c>
      <c r="B239" s="2" t="s">
        <v>464</v>
      </c>
      <c r="C239" s="2" t="s">
        <v>418</v>
      </c>
      <c r="D239" s="8" t="s">
        <v>465</v>
      </c>
      <c r="E239" s="8"/>
      <c r="F239" s="8"/>
      <c r="G239" s="8"/>
      <c r="H239" s="2" t="s">
        <v>466</v>
      </c>
      <c r="I239" s="6" t="str">
        <f>TRIM(SUBSTITUTE(INDEX([1]ТУ!$A:$G,MATCH($A239,[1]ТУ!$A:$A,0),3+I$7),"*",""))</f>
        <v>ОТКЛ</v>
      </c>
      <c r="J239" s="6" t="str">
        <f>TRIM(SUBSTITUTE(INDEX([1]ТУ!$A:$G,MATCH($A239,[1]ТУ!$A:$A,0),3+J$7),"*",""))</f>
        <v/>
      </c>
      <c r="K239" s="6" t="str">
        <f>TRIM(SUBSTITUTE(INDEX([1]ТУ!$A:$G,MATCH($A239,[1]ТУ!$A:$A,0),3+K$7),"*",""))</f>
        <v/>
      </c>
      <c r="L239" s="6" t="str">
        <f>TRIM(SUBSTITUTE(INDEX([1]ТУ!$A:$G,MATCH($A239,[1]ТУ!$A:$A,0),3+L$7),"*",""))</f>
        <v/>
      </c>
      <c r="M239" s="7" t="str">
        <f t="shared" si="13"/>
        <v/>
      </c>
      <c r="N239" s="7" t="str">
        <f t="shared" si="14"/>
        <v/>
      </c>
      <c r="O239" s="7" t="str">
        <f t="shared" si="15"/>
        <v/>
      </c>
      <c r="P239" s="7" t="str">
        <f t="shared" si="16"/>
        <v/>
      </c>
    </row>
    <row r="240" spans="1:16" x14ac:dyDescent="0.25">
      <c r="A240" s="1" t="s">
        <v>467</v>
      </c>
      <c r="B240" s="2" t="s">
        <v>468</v>
      </c>
      <c r="C240" s="2" t="s">
        <v>436</v>
      </c>
      <c r="D240" s="8" t="s">
        <v>370</v>
      </c>
      <c r="E240" s="8"/>
      <c r="F240" s="8"/>
      <c r="G240" s="8"/>
      <c r="H240" s="2" t="s">
        <v>469</v>
      </c>
      <c r="I240" s="6" t="str">
        <f>TRIM(SUBSTITUTE(INDEX([1]ТУ!$A:$G,MATCH($A240,[1]ТУ!$A:$A,0),3+I$7),"*",""))</f>
        <v>oo</v>
      </c>
      <c r="J240" s="6" t="str">
        <f>TRIM(SUBSTITUTE(INDEX([1]ТУ!$A:$G,MATCH($A240,[1]ТУ!$A:$A,0),3+J$7),"*",""))</f>
        <v/>
      </c>
      <c r="K240" s="6" t="str">
        <f>TRIM(SUBSTITUTE(INDEX([1]ТУ!$A:$G,MATCH($A240,[1]ТУ!$A:$A,0),3+K$7),"*",""))</f>
        <v/>
      </c>
      <c r="L240" s="6" t="str">
        <f>TRIM(SUBSTITUTE(INDEX([1]ТУ!$A:$G,MATCH($A240,[1]ТУ!$A:$A,0),3+L$7),"*",""))</f>
        <v/>
      </c>
      <c r="M240" s="7">
        <f t="shared" si="13"/>
        <v>1</v>
      </c>
      <c r="N240" s="7" t="str">
        <f t="shared" si="14"/>
        <v/>
      </c>
      <c r="O240" s="7" t="str">
        <f t="shared" si="15"/>
        <v/>
      </c>
      <c r="P240" s="7" t="str">
        <f t="shared" si="16"/>
        <v/>
      </c>
    </row>
    <row r="241" spans="1:16" x14ac:dyDescent="0.25">
      <c r="A241" s="12" t="s">
        <v>470</v>
      </c>
      <c r="B241" s="12"/>
      <c r="C241" s="12"/>
      <c r="D241" s="12"/>
      <c r="E241" s="12"/>
      <c r="F241" s="12"/>
      <c r="G241" s="12"/>
      <c r="H241" s="12"/>
      <c r="I241" s="6" t="str">
        <f>TRIM(SUBSTITUTE(INDEX([1]ТУ!$A:$G,MATCH($A241,[1]ТУ!$A:$A,0),3+I$7),"*",""))</f>
        <v/>
      </c>
      <c r="J241" s="6" t="str">
        <f>TRIM(SUBSTITUTE(INDEX([1]ТУ!$A:$G,MATCH($A241,[1]ТУ!$A:$A,0),3+J$7),"*",""))</f>
        <v/>
      </c>
      <c r="K241" s="6" t="str">
        <f>TRIM(SUBSTITUTE(INDEX([1]ТУ!$A:$G,MATCH($A241,[1]ТУ!$A:$A,0),3+K$7),"*",""))</f>
        <v/>
      </c>
      <c r="L241" s="6" t="str">
        <f>TRIM(SUBSTITUTE(INDEX([1]ТУ!$A:$G,MATCH($A241,[1]ТУ!$A:$A,0),3+L$7),"*",""))</f>
        <v/>
      </c>
      <c r="M241" s="7" t="str">
        <f t="shared" si="13"/>
        <v/>
      </c>
      <c r="N241" s="7" t="str">
        <f t="shared" si="14"/>
        <v/>
      </c>
      <c r="O241" s="7" t="str">
        <f t="shared" si="15"/>
        <v/>
      </c>
      <c r="P241" s="7" t="str">
        <f t="shared" si="16"/>
        <v/>
      </c>
    </row>
    <row r="242" spans="1:16" x14ac:dyDescent="0.25">
      <c r="A242" s="11" t="s">
        <v>78</v>
      </c>
      <c r="B242" s="11" t="s">
        <v>79</v>
      </c>
      <c r="C242" s="11" t="s">
        <v>80</v>
      </c>
      <c r="D242" s="11" t="s">
        <v>81</v>
      </c>
      <c r="E242" s="11"/>
      <c r="F242" s="11"/>
      <c r="G242" s="11"/>
      <c r="H242" s="11" t="s">
        <v>82</v>
      </c>
      <c r="I242" s="6" t="str">
        <f>TRIM(SUBSTITUTE(INDEX([1]ТУ!$A:$G,MATCH($A242,[1]ТУ!$A:$A,0),3+I$7),"*",""))</f>
        <v>Задаваемый параметр</v>
      </c>
      <c r="J242" s="6" t="str">
        <f>TRIM(SUBSTITUTE(INDEX([1]ТУ!$A:$G,MATCH($A242,[1]ТУ!$A:$A,0),3+J$7),"*",""))</f>
        <v/>
      </c>
      <c r="K242" s="6" t="str">
        <f>TRIM(SUBSTITUTE(INDEX([1]ТУ!$A:$G,MATCH($A242,[1]ТУ!$A:$A,0),3+K$7),"*",""))</f>
        <v/>
      </c>
      <c r="L242" s="6" t="str">
        <f>TRIM(SUBSTITUTE(INDEX([1]ТУ!$A:$G,MATCH($A242,[1]ТУ!$A:$A,0),3+L$7),"*",""))</f>
        <v/>
      </c>
      <c r="M242" s="7" t="str">
        <f t="shared" si="13"/>
        <v/>
      </c>
      <c r="N242" s="7" t="str">
        <f t="shared" si="14"/>
        <v/>
      </c>
      <c r="O242" s="7" t="str">
        <f t="shared" si="15"/>
        <v/>
      </c>
      <c r="P242" s="7" t="str">
        <f t="shared" si="16"/>
        <v/>
      </c>
    </row>
    <row r="243" spans="1:16" x14ac:dyDescent="0.25">
      <c r="A243" s="11"/>
      <c r="B243" s="11"/>
      <c r="C243" s="11"/>
      <c r="D243" s="11"/>
      <c r="E243" s="11"/>
      <c r="F243" s="11"/>
      <c r="G243" s="11"/>
      <c r="H243" s="11"/>
      <c r="I243" s="6" t="e">
        <f>TRIM(SUBSTITUTE(INDEX([1]ТУ!$A:$G,MATCH($A243,[1]ТУ!$A:$A,0),3+I$7),"*",""))</f>
        <v>#N/A</v>
      </c>
      <c r="J243" s="6" t="e">
        <f>TRIM(SUBSTITUTE(INDEX([1]ТУ!$A:$G,MATCH($A243,[1]ТУ!$A:$A,0),3+J$7),"*",""))</f>
        <v>#N/A</v>
      </c>
      <c r="K243" s="6" t="e">
        <f>TRIM(SUBSTITUTE(INDEX([1]ТУ!$A:$G,MATCH($A243,[1]ТУ!$A:$A,0),3+K$7),"*",""))</f>
        <v>#N/A</v>
      </c>
      <c r="L243" s="6" t="e">
        <f>TRIM(SUBSTITUTE(INDEX([1]ТУ!$A:$G,MATCH($A243,[1]ТУ!$A:$A,0),3+L$7),"*",""))</f>
        <v>#N/A</v>
      </c>
      <c r="M243" s="7" t="str">
        <f t="shared" si="13"/>
        <v/>
      </c>
      <c r="N243" s="7" t="str">
        <f t="shared" si="14"/>
        <v/>
      </c>
      <c r="O243" s="7" t="str">
        <f t="shared" si="15"/>
        <v/>
      </c>
      <c r="P243" s="7" t="str">
        <f t="shared" si="16"/>
        <v/>
      </c>
    </row>
    <row r="244" spans="1:16" ht="30" x14ac:dyDescent="0.25">
      <c r="A244" s="1" t="s">
        <v>471</v>
      </c>
      <c r="B244" s="2" t="s">
        <v>470</v>
      </c>
      <c r="C244" s="2" t="s">
        <v>418</v>
      </c>
      <c r="D244" s="8" t="s">
        <v>465</v>
      </c>
      <c r="E244" s="8"/>
      <c r="F244" s="8"/>
      <c r="G244" s="8"/>
      <c r="H244" s="2" t="s">
        <v>472</v>
      </c>
      <c r="I244" s="6" t="str">
        <f>TRIM(SUBSTITUTE(INDEX([1]ТУ!$A:$G,MATCH($A244,[1]ТУ!$A:$A,0),3+I$7),"*",""))</f>
        <v>ОТКЛ</v>
      </c>
      <c r="J244" s="6" t="str">
        <f>TRIM(SUBSTITUTE(INDEX([1]ТУ!$A:$G,MATCH($A244,[1]ТУ!$A:$A,0),3+J$7),"*",""))</f>
        <v/>
      </c>
      <c r="K244" s="6" t="str">
        <f>TRIM(SUBSTITUTE(INDEX([1]ТУ!$A:$G,MATCH($A244,[1]ТУ!$A:$A,0),3+K$7),"*",""))</f>
        <v/>
      </c>
      <c r="L244" s="6" t="str">
        <f>TRIM(SUBSTITUTE(INDEX([1]ТУ!$A:$G,MATCH($A244,[1]ТУ!$A:$A,0),3+L$7),"*",""))</f>
        <v/>
      </c>
      <c r="M244" s="7" t="str">
        <f t="shared" si="13"/>
        <v/>
      </c>
      <c r="N244" s="7" t="str">
        <f t="shared" si="14"/>
        <v/>
      </c>
      <c r="O244" s="7" t="str">
        <f t="shared" si="15"/>
        <v/>
      </c>
      <c r="P244" s="7" t="str">
        <f t="shared" si="16"/>
        <v/>
      </c>
    </row>
    <row r="245" spans="1:16" ht="17.25" x14ac:dyDescent="0.25">
      <c r="A245" s="10" t="s">
        <v>473</v>
      </c>
      <c r="B245" s="10"/>
      <c r="C245" s="10"/>
      <c r="D245" s="10"/>
      <c r="E245" s="10"/>
      <c r="F245" s="10"/>
      <c r="G245" s="10"/>
      <c r="H245" s="10"/>
      <c r="I245" s="6" t="str">
        <f>TRIM(SUBSTITUTE(INDEX([1]ТУ!$A:$G,MATCH($A245,[1]ТУ!$A:$A,0),3+I$7),"*",""))</f>
        <v/>
      </c>
      <c r="J245" s="6" t="str">
        <f>TRIM(SUBSTITUTE(INDEX([1]ТУ!$A:$G,MATCH($A245,[1]ТУ!$A:$A,0),3+J$7),"*",""))</f>
        <v/>
      </c>
      <c r="K245" s="6" t="str">
        <f>TRIM(SUBSTITUTE(INDEX([1]ТУ!$A:$G,MATCH($A245,[1]ТУ!$A:$A,0),3+K$7),"*",""))</f>
        <v/>
      </c>
      <c r="L245" s="6" t="str">
        <f>TRIM(SUBSTITUTE(INDEX([1]ТУ!$A:$G,MATCH($A245,[1]ТУ!$A:$A,0),3+L$7),"*",""))</f>
        <v/>
      </c>
      <c r="M245" s="7" t="str">
        <f t="shared" si="13"/>
        <v/>
      </c>
      <c r="N245" s="7" t="str">
        <f t="shared" si="14"/>
        <v/>
      </c>
      <c r="O245" s="7" t="str">
        <f t="shared" si="15"/>
        <v/>
      </c>
      <c r="P245" s="7" t="str">
        <f t="shared" si="16"/>
        <v/>
      </c>
    </row>
    <row r="246" spans="1:16" x14ac:dyDescent="0.25">
      <c r="A246" s="11" t="s">
        <v>78</v>
      </c>
      <c r="B246" s="11" t="s">
        <v>79</v>
      </c>
      <c r="C246" s="11" t="s">
        <v>80</v>
      </c>
      <c r="D246" s="11" t="s">
        <v>81</v>
      </c>
      <c r="E246" s="11"/>
      <c r="F246" s="11"/>
      <c r="G246" s="11"/>
      <c r="H246" s="11" t="s">
        <v>82</v>
      </c>
      <c r="I246" s="6" t="str">
        <f>TRIM(SUBSTITUTE(INDEX([1]ТУ!$A:$G,MATCH($A246,[1]ТУ!$A:$A,0),3+I$7),"*",""))</f>
        <v>Задаваемый параметр</v>
      </c>
      <c r="J246" s="6" t="str">
        <f>TRIM(SUBSTITUTE(INDEX([1]ТУ!$A:$G,MATCH($A246,[1]ТУ!$A:$A,0),3+J$7),"*",""))</f>
        <v/>
      </c>
      <c r="K246" s="6" t="str">
        <f>TRIM(SUBSTITUTE(INDEX([1]ТУ!$A:$G,MATCH($A246,[1]ТУ!$A:$A,0),3+K$7),"*",""))</f>
        <v/>
      </c>
      <c r="L246" s="6" t="str">
        <f>TRIM(SUBSTITUTE(INDEX([1]ТУ!$A:$G,MATCH($A246,[1]ТУ!$A:$A,0),3+L$7),"*",""))</f>
        <v/>
      </c>
      <c r="M246" s="7" t="str">
        <f t="shared" si="13"/>
        <v/>
      </c>
      <c r="N246" s="7" t="str">
        <f t="shared" si="14"/>
        <v/>
      </c>
      <c r="O246" s="7" t="str">
        <f t="shared" si="15"/>
        <v/>
      </c>
      <c r="P246" s="7" t="str">
        <f t="shared" si="16"/>
        <v/>
      </c>
    </row>
    <row r="247" spans="1:16" x14ac:dyDescent="0.25">
      <c r="A247" s="11"/>
      <c r="B247" s="11"/>
      <c r="C247" s="11"/>
      <c r="D247" s="11"/>
      <c r="E247" s="11"/>
      <c r="F247" s="11"/>
      <c r="G247" s="11"/>
      <c r="H247" s="11"/>
      <c r="I247" s="6" t="e">
        <f>TRIM(SUBSTITUTE(INDEX([1]ТУ!$A:$G,MATCH($A247,[1]ТУ!$A:$A,0),3+I$7),"*",""))</f>
        <v>#N/A</v>
      </c>
      <c r="J247" s="6" t="e">
        <f>TRIM(SUBSTITUTE(INDEX([1]ТУ!$A:$G,MATCH($A247,[1]ТУ!$A:$A,0),3+J$7),"*",""))</f>
        <v>#N/A</v>
      </c>
      <c r="K247" s="6" t="e">
        <f>TRIM(SUBSTITUTE(INDEX([1]ТУ!$A:$G,MATCH($A247,[1]ТУ!$A:$A,0),3+K$7),"*",""))</f>
        <v>#N/A</v>
      </c>
      <c r="L247" s="6" t="e">
        <f>TRIM(SUBSTITUTE(INDEX([1]ТУ!$A:$G,MATCH($A247,[1]ТУ!$A:$A,0),3+L$7),"*",""))</f>
        <v>#N/A</v>
      </c>
      <c r="M247" s="7" t="str">
        <f t="shared" si="13"/>
        <v/>
      </c>
      <c r="N247" s="7" t="str">
        <f t="shared" si="14"/>
        <v/>
      </c>
      <c r="O247" s="7" t="str">
        <f t="shared" si="15"/>
        <v/>
      </c>
      <c r="P247" s="7" t="str">
        <f t="shared" si="16"/>
        <v/>
      </c>
    </row>
    <row r="248" spans="1:16" ht="60" x14ac:dyDescent="0.25">
      <c r="A248" s="1" t="s">
        <v>474</v>
      </c>
      <c r="B248" s="2" t="s">
        <v>475</v>
      </c>
      <c r="C248" s="2" t="s">
        <v>476</v>
      </c>
      <c r="D248" s="8" t="s">
        <v>477</v>
      </c>
      <c r="E248" s="8"/>
      <c r="F248" s="8"/>
      <c r="G248" s="8"/>
      <c r="H248" s="2" t="s">
        <v>478</v>
      </c>
      <c r="I248" s="6" t="str">
        <f>TRIM(SUBSTITUTE(INDEX([1]ТУ!$A:$G,MATCH($A248,[1]ТУ!$A:$A,0),3+I$7),"*",""))</f>
        <v>с контролем тока</v>
      </c>
      <c r="J248" s="6" t="str">
        <f>TRIM(SUBSTITUTE(INDEX([1]ТУ!$A:$G,MATCH($A248,[1]ТУ!$A:$A,0),3+J$7),"*",""))</f>
        <v/>
      </c>
      <c r="K248" s="6" t="str">
        <f>TRIM(SUBSTITUTE(INDEX([1]ТУ!$A:$G,MATCH($A248,[1]ТУ!$A:$A,0),3+K$7),"*",""))</f>
        <v/>
      </c>
      <c r="L248" s="6" t="str">
        <f>TRIM(SUBSTITUTE(INDEX([1]ТУ!$A:$G,MATCH($A248,[1]ТУ!$A:$A,0),3+L$7),"*",""))</f>
        <v/>
      </c>
      <c r="M248" s="7" t="str">
        <f t="shared" si="13"/>
        <v/>
      </c>
      <c r="N248" s="7" t="str">
        <f t="shared" si="14"/>
        <v/>
      </c>
      <c r="O248" s="7" t="str">
        <f t="shared" si="15"/>
        <v/>
      </c>
      <c r="P248" s="7" t="str">
        <f t="shared" si="16"/>
        <v/>
      </c>
    </row>
    <row r="249" spans="1:16" x14ac:dyDescent="0.25">
      <c r="A249" s="1" t="s">
        <v>479</v>
      </c>
      <c r="B249" s="2" t="s">
        <v>480</v>
      </c>
      <c r="C249" s="2" t="s">
        <v>481</v>
      </c>
      <c r="D249" s="8" t="s">
        <v>482</v>
      </c>
      <c r="E249" s="8"/>
      <c r="F249" s="8"/>
      <c r="G249" s="8"/>
      <c r="H249" s="2" t="s">
        <v>483</v>
      </c>
      <c r="I249" s="6" t="str">
        <f>TRIM(SUBSTITUTE(INDEX([1]ТУ!$A:$G,MATCH($A249,[1]ТУ!$A:$A,0),3+I$7),"*",""))</f>
        <v>9 сек</v>
      </c>
      <c r="J249" s="6" t="str">
        <f>TRIM(SUBSTITUTE(INDEX([1]ТУ!$A:$G,MATCH($A249,[1]ТУ!$A:$A,0),3+J$7),"*",""))</f>
        <v/>
      </c>
      <c r="K249" s="6" t="str">
        <f>TRIM(SUBSTITUTE(INDEX([1]ТУ!$A:$G,MATCH($A249,[1]ТУ!$A:$A,0),3+K$7),"*",""))</f>
        <v/>
      </c>
      <c r="L249" s="6" t="str">
        <f>TRIM(SUBSTITUTE(INDEX([1]ТУ!$A:$G,MATCH($A249,[1]ТУ!$A:$A,0),3+L$7),"*",""))</f>
        <v/>
      </c>
      <c r="M249" s="7">
        <f t="shared" si="13"/>
        <v>1</v>
      </c>
      <c r="N249" s="7" t="str">
        <f t="shared" si="14"/>
        <v/>
      </c>
      <c r="O249" s="7" t="str">
        <f t="shared" si="15"/>
        <v/>
      </c>
      <c r="P249" s="7" t="str">
        <f t="shared" si="16"/>
        <v/>
      </c>
    </row>
    <row r="250" spans="1:16" x14ac:dyDescent="0.25">
      <c r="A250" s="1" t="s">
        <v>484</v>
      </c>
      <c r="B250" s="2" t="s">
        <v>485</v>
      </c>
      <c r="C250" s="2" t="s">
        <v>486</v>
      </c>
      <c r="D250" s="8" t="s">
        <v>487</v>
      </c>
      <c r="E250" s="8"/>
      <c r="F250" s="8"/>
      <c r="G250" s="8"/>
      <c r="H250" s="2" t="s">
        <v>488</v>
      </c>
      <c r="I250" s="6" t="str">
        <f>TRIM(SUBSTITUTE(INDEX([1]ТУ!$A:$G,MATCH($A250,[1]ТУ!$A:$A,0),3+I$7),"*",""))</f>
        <v>29 В</v>
      </c>
      <c r="J250" s="6" t="str">
        <f>TRIM(SUBSTITUTE(INDEX([1]ТУ!$A:$G,MATCH($A250,[1]ТУ!$A:$A,0),3+J$7),"*",""))</f>
        <v/>
      </c>
      <c r="K250" s="6" t="str">
        <f>TRIM(SUBSTITUTE(INDEX([1]ТУ!$A:$G,MATCH($A250,[1]ТУ!$A:$A,0),3+K$7),"*",""))</f>
        <v/>
      </c>
      <c r="L250" s="6" t="str">
        <f>TRIM(SUBSTITUTE(INDEX([1]ТУ!$A:$G,MATCH($A250,[1]ТУ!$A:$A,0),3+L$7),"*",""))</f>
        <v/>
      </c>
      <c r="M250" s="7" t="str">
        <f t="shared" si="13"/>
        <v/>
      </c>
      <c r="N250" s="7" t="str">
        <f t="shared" si="14"/>
        <v/>
      </c>
      <c r="O250" s="7" t="str">
        <f t="shared" si="15"/>
        <v/>
      </c>
      <c r="P250" s="7" t="str">
        <f t="shared" si="16"/>
        <v/>
      </c>
    </row>
    <row r="254" spans="1:16" ht="17.25" x14ac:dyDescent="0.25">
      <c r="A254" s="10" t="s">
        <v>489</v>
      </c>
      <c r="B254" s="10"/>
      <c r="C254" s="10"/>
      <c r="D254" s="10"/>
      <c r="E254" s="10"/>
      <c r="F254" s="10"/>
      <c r="G254" s="10"/>
      <c r="H254" s="10"/>
    </row>
    <row r="255" spans="1:16" x14ac:dyDescent="0.25">
      <c r="A255" s="11" t="s">
        <v>78</v>
      </c>
      <c r="B255" s="11" t="s">
        <v>79</v>
      </c>
      <c r="C255" s="11" t="s">
        <v>80</v>
      </c>
      <c r="D255" s="11" t="s">
        <v>81</v>
      </c>
      <c r="E255" s="11"/>
      <c r="F255" s="11"/>
      <c r="G255" s="11"/>
      <c r="H255" s="11" t="s">
        <v>82</v>
      </c>
    </row>
    <row r="256" spans="1:16" x14ac:dyDescent="0.25">
      <c r="A256" s="11"/>
      <c r="B256" s="11"/>
      <c r="C256" s="11"/>
      <c r="D256" s="11"/>
      <c r="E256" s="11"/>
      <c r="F256" s="11"/>
      <c r="G256" s="11"/>
      <c r="H256" s="11"/>
    </row>
  </sheetData>
  <mergeCells count="353">
    <mergeCell ref="A254:H254"/>
    <mergeCell ref="A255:A256"/>
    <mergeCell ref="B255:B256"/>
    <mergeCell ref="C255:C256"/>
    <mergeCell ref="D255:G256"/>
    <mergeCell ref="H255:H256"/>
    <mergeCell ref="A245:H245"/>
    <mergeCell ref="D248:G248"/>
    <mergeCell ref="D249:G249"/>
    <mergeCell ref="D250:G250"/>
    <mergeCell ref="A246:A247"/>
    <mergeCell ref="B246:B247"/>
    <mergeCell ref="C246:C247"/>
    <mergeCell ref="D246:G247"/>
    <mergeCell ref="H246:H247"/>
    <mergeCell ref="D240:G240"/>
    <mergeCell ref="A237:A238"/>
    <mergeCell ref="B237:B238"/>
    <mergeCell ref="C237:C238"/>
    <mergeCell ref="D237:G238"/>
    <mergeCell ref="H237:H238"/>
    <mergeCell ref="A241:H241"/>
    <mergeCell ref="D244:G244"/>
    <mergeCell ref="A242:A243"/>
    <mergeCell ref="B242:B243"/>
    <mergeCell ref="C242:C243"/>
    <mergeCell ref="D242:G243"/>
    <mergeCell ref="H242:H243"/>
    <mergeCell ref="D234:G234"/>
    <mergeCell ref="D235:G235"/>
    <mergeCell ref="A232:A233"/>
    <mergeCell ref="B232:B233"/>
    <mergeCell ref="C232:C233"/>
    <mergeCell ref="D232:G233"/>
    <mergeCell ref="H232:H233"/>
    <mergeCell ref="A236:H236"/>
    <mergeCell ref="D239:G239"/>
    <mergeCell ref="A226:H226"/>
    <mergeCell ref="D229:G229"/>
    <mergeCell ref="D230:G230"/>
    <mergeCell ref="A227:A228"/>
    <mergeCell ref="B227:B228"/>
    <mergeCell ref="C227:C228"/>
    <mergeCell ref="D227:G228"/>
    <mergeCell ref="H227:H228"/>
    <mergeCell ref="A231:H231"/>
    <mergeCell ref="A220:H220"/>
    <mergeCell ref="D223:G223"/>
    <mergeCell ref="D224:G224"/>
    <mergeCell ref="D225:G225"/>
    <mergeCell ref="A221:A222"/>
    <mergeCell ref="B221:B222"/>
    <mergeCell ref="C221:C222"/>
    <mergeCell ref="D221:G222"/>
    <mergeCell ref="H221:H222"/>
    <mergeCell ref="A211:H211"/>
    <mergeCell ref="A212:H212"/>
    <mergeCell ref="D215:G215"/>
    <mergeCell ref="D216:G216"/>
    <mergeCell ref="D217:G217"/>
    <mergeCell ref="D218:G218"/>
    <mergeCell ref="D219:G219"/>
    <mergeCell ref="A213:A214"/>
    <mergeCell ref="B213:B214"/>
    <mergeCell ref="C213:C214"/>
    <mergeCell ref="D213:G214"/>
    <mergeCell ref="H213:H214"/>
    <mergeCell ref="A203:H203"/>
    <mergeCell ref="D206:G206"/>
    <mergeCell ref="D207:G207"/>
    <mergeCell ref="D208:G208"/>
    <mergeCell ref="D209:G209"/>
    <mergeCell ref="D210:G210"/>
    <mergeCell ref="A204:A205"/>
    <mergeCell ref="B204:B205"/>
    <mergeCell ref="C204:C205"/>
    <mergeCell ref="D204:G205"/>
    <mergeCell ref="H204:H205"/>
    <mergeCell ref="D199:G199"/>
    <mergeCell ref="D200:G200"/>
    <mergeCell ref="D201:G201"/>
    <mergeCell ref="D202:G202"/>
    <mergeCell ref="A197:A198"/>
    <mergeCell ref="B197:B198"/>
    <mergeCell ref="C197:C198"/>
    <mergeCell ref="D197:G198"/>
    <mergeCell ref="H197:H198"/>
    <mergeCell ref="D193:G193"/>
    <mergeCell ref="D194:G194"/>
    <mergeCell ref="D195:G195"/>
    <mergeCell ref="A184:A185"/>
    <mergeCell ref="B184:B185"/>
    <mergeCell ref="C184:C185"/>
    <mergeCell ref="D184:G185"/>
    <mergeCell ref="H184:H185"/>
    <mergeCell ref="A196:H196"/>
    <mergeCell ref="A182:H182"/>
    <mergeCell ref="A183:H183"/>
    <mergeCell ref="D186:G186"/>
    <mergeCell ref="D187:G187"/>
    <mergeCell ref="D188:G188"/>
    <mergeCell ref="D189:G189"/>
    <mergeCell ref="D190:G190"/>
    <mergeCell ref="D191:G191"/>
    <mergeCell ref="D192:G192"/>
    <mergeCell ref="A175:H175"/>
    <mergeCell ref="D178:G178"/>
    <mergeCell ref="D179:G179"/>
    <mergeCell ref="D180:G180"/>
    <mergeCell ref="D181:G181"/>
    <mergeCell ref="A176:A177"/>
    <mergeCell ref="B176:B177"/>
    <mergeCell ref="C176:C177"/>
    <mergeCell ref="D176:G177"/>
    <mergeCell ref="H176:H177"/>
    <mergeCell ref="D169:G169"/>
    <mergeCell ref="A159:A160"/>
    <mergeCell ref="B159:B160"/>
    <mergeCell ref="C159:C160"/>
    <mergeCell ref="D159:G160"/>
    <mergeCell ref="H159:H160"/>
    <mergeCell ref="A170:H170"/>
    <mergeCell ref="D173:G173"/>
    <mergeCell ref="D174:G174"/>
    <mergeCell ref="A171:A172"/>
    <mergeCell ref="B171:B172"/>
    <mergeCell ref="C171:C172"/>
    <mergeCell ref="D171:G172"/>
    <mergeCell ref="H171:H172"/>
    <mergeCell ref="A158:H158"/>
    <mergeCell ref="D161:G161"/>
    <mergeCell ref="D162:G162"/>
    <mergeCell ref="D163:G163"/>
    <mergeCell ref="D164:G164"/>
    <mergeCell ref="D165:G165"/>
    <mergeCell ref="D166:G166"/>
    <mergeCell ref="D167:G167"/>
    <mergeCell ref="D168:G168"/>
    <mergeCell ref="A149:H149"/>
    <mergeCell ref="A150:H150"/>
    <mergeCell ref="D153:G153"/>
    <mergeCell ref="D154:G154"/>
    <mergeCell ref="D155:G155"/>
    <mergeCell ref="D156:G156"/>
    <mergeCell ref="D157:G157"/>
    <mergeCell ref="A151:A152"/>
    <mergeCell ref="B151:B152"/>
    <mergeCell ref="C151:C152"/>
    <mergeCell ref="D151:G152"/>
    <mergeCell ref="H151:H152"/>
    <mergeCell ref="A142:H142"/>
    <mergeCell ref="D145:G145"/>
    <mergeCell ref="D146:G146"/>
    <mergeCell ref="D147:G147"/>
    <mergeCell ref="D148:G148"/>
    <mergeCell ref="A143:A144"/>
    <mergeCell ref="B143:B144"/>
    <mergeCell ref="C143:C144"/>
    <mergeCell ref="D143:G144"/>
    <mergeCell ref="H143:H144"/>
    <mergeCell ref="D136:G136"/>
    <mergeCell ref="A126:A127"/>
    <mergeCell ref="B126:B127"/>
    <mergeCell ref="C126:C127"/>
    <mergeCell ref="D126:G127"/>
    <mergeCell ref="H126:H127"/>
    <mergeCell ref="A137:H137"/>
    <mergeCell ref="D140:G140"/>
    <mergeCell ref="D141:G141"/>
    <mergeCell ref="A138:A139"/>
    <mergeCell ref="B138:B139"/>
    <mergeCell ref="C138:C139"/>
    <mergeCell ref="D138:G139"/>
    <mergeCell ref="H138:H139"/>
    <mergeCell ref="A125:H125"/>
    <mergeCell ref="D128:G128"/>
    <mergeCell ref="D129:G129"/>
    <mergeCell ref="D130:G130"/>
    <mergeCell ref="D131:G131"/>
    <mergeCell ref="D132:G132"/>
    <mergeCell ref="D133:G133"/>
    <mergeCell ref="D134:G134"/>
    <mergeCell ref="D135:G135"/>
    <mergeCell ref="A116:H116"/>
    <mergeCell ref="A117:H117"/>
    <mergeCell ref="D120:G120"/>
    <mergeCell ref="D121:G121"/>
    <mergeCell ref="D122:G122"/>
    <mergeCell ref="D123:G123"/>
    <mergeCell ref="D124:G124"/>
    <mergeCell ref="A118:A119"/>
    <mergeCell ref="B118:B119"/>
    <mergeCell ref="C118:C119"/>
    <mergeCell ref="D118:G119"/>
    <mergeCell ref="H118:H119"/>
    <mergeCell ref="A109:H109"/>
    <mergeCell ref="D112:G112"/>
    <mergeCell ref="D113:G113"/>
    <mergeCell ref="D114:G114"/>
    <mergeCell ref="D115:G115"/>
    <mergeCell ref="A110:A111"/>
    <mergeCell ref="B110:B111"/>
    <mergeCell ref="C110:C111"/>
    <mergeCell ref="D110:G111"/>
    <mergeCell ref="H110:H111"/>
    <mergeCell ref="D103:G103"/>
    <mergeCell ref="A93:A94"/>
    <mergeCell ref="B93:B94"/>
    <mergeCell ref="C93:C94"/>
    <mergeCell ref="D93:G94"/>
    <mergeCell ref="H93:H94"/>
    <mergeCell ref="A104:H104"/>
    <mergeCell ref="D107:G107"/>
    <mergeCell ref="D108:G108"/>
    <mergeCell ref="A105:A106"/>
    <mergeCell ref="B105:B106"/>
    <mergeCell ref="C105:C106"/>
    <mergeCell ref="D105:G106"/>
    <mergeCell ref="H105:H106"/>
    <mergeCell ref="A92:H92"/>
    <mergeCell ref="D95:G95"/>
    <mergeCell ref="D96:G96"/>
    <mergeCell ref="D97:G97"/>
    <mergeCell ref="D98:G98"/>
    <mergeCell ref="D99:G99"/>
    <mergeCell ref="D100:G100"/>
    <mergeCell ref="D101:G101"/>
    <mergeCell ref="D102:G102"/>
    <mergeCell ref="A84:H84"/>
    <mergeCell ref="D87:G87"/>
    <mergeCell ref="D88:G88"/>
    <mergeCell ref="D89:G89"/>
    <mergeCell ref="D90:G90"/>
    <mergeCell ref="D91:G91"/>
    <mergeCell ref="A85:A86"/>
    <mergeCell ref="B85:B86"/>
    <mergeCell ref="C85:C86"/>
    <mergeCell ref="D85:G86"/>
    <mergeCell ref="H85:H86"/>
    <mergeCell ref="A78:H78"/>
    <mergeCell ref="D81:G81"/>
    <mergeCell ref="D82:G82"/>
    <mergeCell ref="A79:A80"/>
    <mergeCell ref="B79:B80"/>
    <mergeCell ref="C79:C80"/>
    <mergeCell ref="D79:G80"/>
    <mergeCell ref="H79:H80"/>
    <mergeCell ref="A83:H83"/>
    <mergeCell ref="A72:H72"/>
    <mergeCell ref="D75:G75"/>
    <mergeCell ref="D76:G76"/>
    <mergeCell ref="A73:A74"/>
    <mergeCell ref="B73:B74"/>
    <mergeCell ref="C73:C74"/>
    <mergeCell ref="D73:G74"/>
    <mergeCell ref="H73:H74"/>
    <mergeCell ref="A77:H77"/>
    <mergeCell ref="A66:H66"/>
    <mergeCell ref="A67:H67"/>
    <mergeCell ref="D70:G70"/>
    <mergeCell ref="A68:A69"/>
    <mergeCell ref="B68:B69"/>
    <mergeCell ref="C68:C69"/>
    <mergeCell ref="D68:G69"/>
    <mergeCell ref="H68:H69"/>
    <mergeCell ref="A71:H71"/>
    <mergeCell ref="A60:H60"/>
    <mergeCell ref="D63:G63"/>
    <mergeCell ref="D64:G64"/>
    <mergeCell ref="D65:G65"/>
    <mergeCell ref="A61:A62"/>
    <mergeCell ref="B61:B62"/>
    <mergeCell ref="C61:C62"/>
    <mergeCell ref="D61:G62"/>
    <mergeCell ref="H61:H62"/>
    <mergeCell ref="A51:H51"/>
    <mergeCell ref="D54:G54"/>
    <mergeCell ref="D55:G55"/>
    <mergeCell ref="D56:G56"/>
    <mergeCell ref="D57:G57"/>
    <mergeCell ref="D58:G58"/>
    <mergeCell ref="D59:G59"/>
    <mergeCell ref="A52:A53"/>
    <mergeCell ref="B52:B53"/>
    <mergeCell ref="C52:C53"/>
    <mergeCell ref="D52:G53"/>
    <mergeCell ref="H52:H53"/>
    <mergeCell ref="A45:H45"/>
    <mergeCell ref="D48:G48"/>
    <mergeCell ref="D49:G49"/>
    <mergeCell ref="A46:A47"/>
    <mergeCell ref="B46:B47"/>
    <mergeCell ref="C46:C47"/>
    <mergeCell ref="D46:G47"/>
    <mergeCell ref="H46:H47"/>
    <mergeCell ref="A50:H50"/>
    <mergeCell ref="A36:H36"/>
    <mergeCell ref="A37:H37"/>
    <mergeCell ref="D40:G40"/>
    <mergeCell ref="D41:G41"/>
    <mergeCell ref="D42:G42"/>
    <mergeCell ref="D43:G43"/>
    <mergeCell ref="D44:G44"/>
    <mergeCell ref="A38:A39"/>
    <mergeCell ref="B38:B39"/>
    <mergeCell ref="C38:C39"/>
    <mergeCell ref="D38:G39"/>
    <mergeCell ref="H38:H39"/>
    <mergeCell ref="D32:G32"/>
    <mergeCell ref="D33:G33"/>
    <mergeCell ref="D34:G34"/>
    <mergeCell ref="D35:G35"/>
    <mergeCell ref="A30:A31"/>
    <mergeCell ref="B30:B31"/>
    <mergeCell ref="C30:C31"/>
    <mergeCell ref="D30:G31"/>
    <mergeCell ref="H30:H31"/>
    <mergeCell ref="D26:G26"/>
    <mergeCell ref="D27:G27"/>
    <mergeCell ref="A6:A7"/>
    <mergeCell ref="B6:B7"/>
    <mergeCell ref="C6:C7"/>
    <mergeCell ref="D6:G7"/>
    <mergeCell ref="H6:H7"/>
    <mergeCell ref="A28:H28"/>
    <mergeCell ref="A29:H29"/>
    <mergeCell ref="D17:G17"/>
    <mergeCell ref="D18:G18"/>
    <mergeCell ref="D19:G19"/>
    <mergeCell ref="D20:G20"/>
    <mergeCell ref="D21:G21"/>
    <mergeCell ref="D22:G22"/>
    <mergeCell ref="D23:G23"/>
    <mergeCell ref="D24:G24"/>
    <mergeCell ref="D25:G25"/>
    <mergeCell ref="D8:G8"/>
    <mergeCell ref="D9:G9"/>
    <mergeCell ref="D10:G10"/>
    <mergeCell ref="D11:G11"/>
    <mergeCell ref="D12:G12"/>
    <mergeCell ref="D13:G13"/>
    <mergeCell ref="D14:G14"/>
    <mergeCell ref="D15:G15"/>
    <mergeCell ref="D16:G16"/>
    <mergeCell ref="A1:B1"/>
    <mergeCell ref="C1:H1"/>
    <mergeCell ref="A2:B2"/>
    <mergeCell ref="C2:H2"/>
    <mergeCell ref="A3:B3"/>
    <mergeCell ref="C3:H3"/>
    <mergeCell ref="A4:B4"/>
    <mergeCell ref="C4:H4"/>
    <mergeCell ref="A5:H5"/>
  </mergeCells>
  <pageMargins left="0.4" right="0.4" top="0.4" bottom="0.4" header="0.12" footer="0.12"/>
  <pageSetup fitToHeight="0" orientation="landscape" r:id="rId1"/>
  <headerFooter>
    <oddFooter>&amp;Amp;R&amp;Amp;F
&amp;Amp;P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Матвеев Игорь Владимирович</cp:lastModifiedBy>
  <dcterms:created xsi:type="dcterms:W3CDTF">2019-06-28T01:04:19Z</dcterms:created>
  <dcterms:modified xsi:type="dcterms:W3CDTF">2019-06-28T04:04:50Z</dcterms:modified>
</cp:coreProperties>
</file>